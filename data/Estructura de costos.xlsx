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vejar\Downloads\"/>
    </mc:Choice>
  </mc:AlternateContent>
  <xr:revisionPtr revIDLastSave="0" documentId="13_ncr:1_{1009A147-4575-46D2-A147-703294B95FA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VECO" sheetId="20" r:id="rId1"/>
    <sheet name="Comparativa competencia" sheetId="23" state="hidden" r:id="rId2"/>
    <sheet name="FOTON " sheetId="21" r:id="rId3"/>
    <sheet name="Agrale  " sheetId="2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23" l="1"/>
  <c r="O12" i="23"/>
  <c r="O6" i="23"/>
  <c r="M7" i="23"/>
  <c r="M9" i="23"/>
  <c r="M10" i="23"/>
  <c r="M12" i="23"/>
  <c r="M6" i="23"/>
  <c r="U9" i="23" l="1"/>
  <c r="U8" i="23"/>
  <c r="O21" i="20"/>
  <c r="K21" i="20"/>
  <c r="K27" i="20"/>
  <c r="K26" i="20"/>
  <c r="K25" i="20"/>
  <c r="K24" i="20"/>
  <c r="K23" i="20"/>
  <c r="K22" i="20"/>
  <c r="O26" i="20"/>
  <c r="O25" i="20"/>
  <c r="O24" i="20"/>
  <c r="O23" i="20"/>
  <c r="O22" i="20"/>
  <c r="Y25" i="20"/>
  <c r="Y22" i="20"/>
  <c r="P18" i="22"/>
  <c r="T18" i="22" s="1"/>
  <c r="M17" i="22"/>
  <c r="M16" i="22"/>
  <c r="P16" i="22" s="1"/>
  <c r="Q16" i="22" s="1"/>
  <c r="T16" i="22" s="1"/>
  <c r="U16" i="22" s="1"/>
  <c r="P15" i="22"/>
  <c r="Z15" i="22" s="1"/>
  <c r="P14" i="22"/>
  <c r="T14" i="22" s="1"/>
  <c r="U14" i="22" s="1"/>
  <c r="V14" i="22" s="1"/>
  <c r="P13" i="22"/>
  <c r="Q13" i="22" s="1"/>
  <c r="T13" i="22" s="1"/>
  <c r="U13" i="22" s="1"/>
  <c r="F31" i="21"/>
  <c r="P31" i="21" s="1"/>
  <c r="T31" i="21" s="1"/>
  <c r="F30" i="21"/>
  <c r="P30" i="21" s="1"/>
  <c r="T30" i="21" s="1"/>
  <c r="F29" i="21"/>
  <c r="P29" i="21" s="1"/>
  <c r="T29" i="21" s="1"/>
  <c r="F28" i="21"/>
  <c r="P28" i="21" s="1"/>
  <c r="T28" i="21" s="1"/>
  <c r="F27" i="21"/>
  <c r="P27" i="21" s="1"/>
  <c r="T27" i="21" s="1"/>
  <c r="F26" i="21"/>
  <c r="P26" i="21" s="1"/>
  <c r="T26" i="21" s="1"/>
  <c r="F25" i="21"/>
  <c r="P25" i="21" s="1"/>
  <c r="T25" i="21" s="1"/>
  <c r="F24" i="21"/>
  <c r="P24" i="21" s="1"/>
  <c r="T24" i="21" s="1"/>
  <c r="F23" i="21"/>
  <c r="P23" i="21" s="1"/>
  <c r="T23" i="21" s="1"/>
  <c r="F22" i="21"/>
  <c r="P22" i="21" s="1"/>
  <c r="T22" i="21" s="1"/>
  <c r="P21" i="21"/>
  <c r="T21" i="21" s="1"/>
  <c r="P20" i="21"/>
  <c r="T20" i="21" s="1"/>
  <c r="P17" i="21"/>
  <c r="T17" i="21" s="1"/>
  <c r="P16" i="21"/>
  <c r="T16" i="21" s="1"/>
  <c r="P15" i="21"/>
  <c r="T15" i="21" s="1"/>
  <c r="P14" i="21"/>
  <c r="T14" i="21" s="1"/>
  <c r="V13" i="22" l="1"/>
  <c r="Z13" i="22"/>
  <c r="Z16" i="22"/>
  <c r="AD16" i="22" s="1"/>
  <c r="W16" i="22"/>
  <c r="V16" i="22"/>
  <c r="Z14" i="22"/>
  <c r="T15" i="22"/>
  <c r="U15" i="22" s="1"/>
  <c r="V15" i="22" s="1"/>
  <c r="Q18" i="22"/>
  <c r="AD14" i="21"/>
  <c r="Y24" i="20" l="1"/>
  <c r="Y27" i="20"/>
  <c r="Y21" i="20"/>
  <c r="U10" i="20"/>
  <c r="Y11" i="20"/>
  <c r="Y13" i="20"/>
  <c r="Y14" i="20"/>
  <c r="Y12" i="20"/>
  <c r="E17" i="20"/>
  <c r="P17" i="20" s="1"/>
  <c r="Q17" i="20" s="1"/>
  <c r="T17" i="20" s="1"/>
  <c r="U17" i="20" s="1"/>
  <c r="Y17" i="20" s="1"/>
  <c r="Z17" i="20" s="1"/>
  <c r="V17" i="20" s="1"/>
  <c r="E16" i="20"/>
  <c r="P16" i="20" s="1"/>
  <c r="O15" i="20"/>
  <c r="E15" i="20"/>
  <c r="E14" i="20"/>
  <c r="P14" i="20" s="1"/>
  <c r="S14" i="20" s="1"/>
  <c r="E13" i="20"/>
  <c r="P13" i="20" s="1"/>
  <c r="S13" i="20" s="1"/>
  <c r="E12" i="20"/>
  <c r="P12" i="20" s="1"/>
  <c r="Q12" i="20" s="1"/>
  <c r="E11" i="20"/>
  <c r="P11" i="20" s="1"/>
  <c r="Q11" i="20" s="1"/>
  <c r="O10" i="20"/>
  <c r="E10" i="20"/>
  <c r="E9" i="20"/>
  <c r="P9" i="20" s="1"/>
  <c r="Q9" i="20" s="1"/>
  <c r="P8" i="20"/>
  <c r="Q8" i="20" s="1"/>
  <c r="S12" i="20" l="1"/>
  <c r="T12" i="20" s="1"/>
  <c r="Q13" i="20"/>
  <c r="T13" i="20" s="1"/>
  <c r="S11" i="20"/>
  <c r="T11" i="20" s="1"/>
  <c r="Z12" i="20"/>
  <c r="V12" i="20" s="1"/>
  <c r="P15" i="20"/>
  <c r="Q15" i="20" s="1"/>
  <c r="Z14" i="20"/>
  <c r="V14" i="20" s="1"/>
  <c r="Q14" i="20"/>
  <c r="T14" i="20" s="1"/>
  <c r="P10" i="20"/>
  <c r="S10" i="20" s="1"/>
  <c r="Z13" i="20"/>
  <c r="V13" i="20" s="1"/>
  <c r="Z11" i="20"/>
  <c r="V11" i="20" s="1"/>
  <c r="Q16" i="20"/>
  <c r="Q10" i="20" l="1"/>
  <c r="S15" i="20" l="1"/>
  <c r="T15" i="20" s="1"/>
  <c r="Y15" i="20"/>
  <c r="Z15" i="20" s="1"/>
  <c r="V15" i="20" s="1"/>
  <c r="Y10" i="20"/>
  <c r="Z10" i="20" s="1"/>
  <c r="V10" i="20" s="1"/>
  <c r="Y8" i="20"/>
  <c r="Z8" i="20" s="1"/>
  <c r="V8" i="20" s="1"/>
  <c r="S8" i="20"/>
  <c r="T8" i="20" s="1"/>
  <c r="Y26" i="20" l="1"/>
  <c r="Y23" i="20"/>
  <c r="P24" i="20" l="1"/>
  <c r="S24" i="20" s="1"/>
  <c r="P25" i="20"/>
  <c r="S25" i="20" s="1"/>
  <c r="P27" i="20"/>
  <c r="S27" i="20" s="1"/>
  <c r="P26" i="20"/>
  <c r="S26" i="20" s="1"/>
  <c r="P23" i="20"/>
  <c r="S23" i="20" s="1"/>
  <c r="P22" i="20"/>
  <c r="S22" i="20" s="1"/>
  <c r="Z27" i="20" l="1"/>
  <c r="V27" i="20" s="1"/>
  <c r="Q23" i="20"/>
  <c r="T23" i="20" s="1"/>
  <c r="Z24" i="20"/>
  <c r="V24" i="20" s="1"/>
  <c r="Q27" i="20"/>
  <c r="T27" i="20" s="1"/>
  <c r="Q25" i="20"/>
  <c r="T25" i="20" s="1"/>
  <c r="Z25" i="20"/>
  <c r="V25" i="20" s="1"/>
  <c r="Z23" i="20"/>
  <c r="V23" i="20" s="1"/>
  <c r="Z26" i="20"/>
  <c r="V26" i="20" s="1"/>
  <c r="Q22" i="20"/>
  <c r="T22" i="20" s="1"/>
  <c r="Q24" i="20"/>
  <c r="T24" i="20" s="1"/>
  <c r="Z22" i="20"/>
  <c r="V22" i="20" s="1"/>
  <c r="Q26" i="20"/>
  <c r="T26" i="20" s="1"/>
  <c r="P21" i="20"/>
  <c r="S21" i="20" s="1"/>
  <c r="Q21" i="20" l="1"/>
  <c r="T21" i="20" s="1"/>
  <c r="Z21" i="20"/>
  <c r="V21" i="20" s="1"/>
  <c r="V9" i="20"/>
  <c r="Z9" i="20"/>
  <c r="Y9" i="20"/>
  <c r="T9" i="20"/>
  <c r="U9" i="20"/>
  <c r="S9" i="20"/>
  <c r="V16" i="20"/>
  <c r="Z16" i="20"/>
  <c r="Y16" i="20"/>
  <c r="U16" i="20"/>
  <c r="S16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Cristobal Vega Morales</author>
  </authors>
  <commentList>
    <comment ref="U2" authorId="0" shapeId="0" xr:uid="{7AD241CE-181A-4791-B7A4-E52C03F16EFC}">
      <text>
        <r>
          <rPr>
            <b/>
            <sz val="9"/>
            <color indexed="81"/>
            <rFont val="Tahoma"/>
            <family val="2"/>
          </rPr>
          <t>Cristobal Vega Morales: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Cristobal Vega Morales</author>
  </authors>
  <commentList>
    <comment ref="F1" authorId="0" shapeId="0" xr:uid="{9CD20BF3-7A4E-47BB-AC1E-CED8536A2A1E}">
      <text>
        <r>
          <rPr>
            <b/>
            <sz val="9"/>
            <color indexed="81"/>
            <rFont val="Tahoma"/>
            <family val="2"/>
          </rPr>
          <t>Cristobal Vega Morales: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Cristobal Vega Morales</author>
  </authors>
  <commentList>
    <comment ref="U2" authorId="0" shapeId="0" xr:uid="{00D9E886-CC64-4571-8B11-915105A656A7}">
      <text>
        <r>
          <rPr>
            <b/>
            <sz val="9"/>
            <color indexed="81"/>
            <rFont val="Tahoma"/>
            <family val="2"/>
          </rPr>
          <t>Cristobal Vega Morales: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Cristobal Vega Morales</author>
  </authors>
  <commentList>
    <comment ref="U2" authorId="0" shapeId="0" xr:uid="{8105F14C-614C-4242-BCA9-18A036AA8C3F}">
      <text>
        <r>
          <rPr>
            <b/>
            <sz val="9"/>
            <color indexed="81"/>
            <rFont val="Tahoma"/>
            <family val="2"/>
          </rPr>
          <t>Cristobal Vega Morales: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<sst xmlns="http://schemas.openxmlformats.org/spreadsheetml/2006/main" count="237" uniqueCount="130">
  <si>
    <t xml:space="preserve">En amarillo Precios Vigentes </t>
  </si>
  <si>
    <t xml:space="preserve">Modelo </t>
  </si>
  <si>
    <t>Variante de referencia</t>
  </si>
  <si>
    <t>Valor ex fabrica</t>
  </si>
  <si>
    <t>ADAS</t>
  </si>
  <si>
    <t>Flete + seguro</t>
  </si>
  <si>
    <t>Impuesto Flete puerto</t>
  </si>
  <si>
    <t>PDI</t>
  </si>
  <si>
    <t>Flete interno</t>
  </si>
  <si>
    <t>Customs</t>
  </si>
  <si>
    <t>Comisión vendedor</t>
  </si>
  <si>
    <t>Campaña mantnción</t>
  </si>
  <si>
    <t>Inzonorización y refuerzos</t>
  </si>
  <si>
    <t>Carroceria de origen</t>
  </si>
  <si>
    <t>EE.EE (asientos y equipamiento )</t>
  </si>
  <si>
    <t>Total Costo US</t>
  </si>
  <si>
    <t>Total costo $</t>
  </si>
  <si>
    <t>% Mg Bruto</t>
  </si>
  <si>
    <t xml:space="preserve">Precio Lista </t>
  </si>
  <si>
    <t xml:space="preserve">Precio Lista USD </t>
  </si>
  <si>
    <t>Margen Importer %</t>
  </si>
  <si>
    <t>% Mg Dealer CCS</t>
  </si>
  <si>
    <t>Bono vendedor intertno</t>
  </si>
  <si>
    <t>Precio Venta Dealer</t>
  </si>
  <si>
    <t>Margen Importer</t>
  </si>
  <si>
    <t>Observaciones</t>
  </si>
  <si>
    <t xml:space="preserve">DOLAR </t>
  </si>
  <si>
    <t>STOCK ANTIGUO IVECO</t>
  </si>
  <si>
    <t>Daily Vetrato (20+1) 2025</t>
  </si>
  <si>
    <t>S57E5BG1A</t>
  </si>
  <si>
    <t>Daily Vetrato Semi 2024 sin asiento</t>
  </si>
  <si>
    <t>Daily Escolar 2024 Dikar 32+1</t>
  </si>
  <si>
    <t>Daily 18+1 2023</t>
  </si>
  <si>
    <t>Daily 18+1 3P fábrica 2024</t>
  </si>
  <si>
    <t>Daily 18+1 3P</t>
  </si>
  <si>
    <t>F33EBAQ1</t>
  </si>
  <si>
    <t>Daily 18+1 2P fábrica 2025</t>
  </si>
  <si>
    <t>Daily 18+1 3P (fábrica +  Dikar) 2025</t>
  </si>
  <si>
    <t>Daily Escolar 2025 Dikar 32+1</t>
  </si>
  <si>
    <t>Daily 4x4</t>
  </si>
  <si>
    <t>Nuevos Pedidos EURO VI IVECO</t>
  </si>
  <si>
    <t>Daily Vetrato 50-180 (20+1) VIP Dikar 2026 PD</t>
  </si>
  <si>
    <t xml:space="preserve">Daily Vetrato 50-180 (20+1) Basic Dikar 2026 </t>
  </si>
  <si>
    <t xml:space="preserve">Daily Vetrato Escolar Dikar 50-180 30+2+1 2026 </t>
  </si>
  <si>
    <t>Daily 19+1 Dikar PD 2026</t>
  </si>
  <si>
    <t>Daily 19+1+1 PD Dikar 2026</t>
  </si>
  <si>
    <t xml:space="preserve">Daily SOF 11+1 PD 2026 </t>
  </si>
  <si>
    <t>Daily 16m3 2026</t>
  </si>
  <si>
    <t>F6G99BB1000015</t>
  </si>
  <si>
    <t>0.8 + 20%</t>
  </si>
  <si>
    <t xml:space="preserve">VALOR BASE EN USD* DÓLAR </t>
  </si>
  <si>
    <t>https://www.kaufmann.cl/vans</t>
  </si>
  <si>
    <t>10 13 16</t>
  </si>
  <si>
    <t>Comisión Base</t>
  </si>
  <si>
    <t>DESCUENTO</t>
  </si>
  <si>
    <t>% Venta Contado</t>
  </si>
  <si>
    <t>% Venta Crédito</t>
  </si>
  <si>
    <t>0,0% - 1,99%</t>
  </si>
  <si>
    <t>2,0% - 3,49%</t>
  </si>
  <si>
    <t>3,5% - 4,49%</t>
  </si>
  <si>
    <t>4,5% - 100%</t>
  </si>
  <si>
    <t>https://www.ford.cl/comercial/nueva-transit-bus/</t>
  </si>
  <si>
    <t>Precio Lista USD iveco</t>
  </si>
  <si>
    <t xml:space="preserve">Mercedez benz </t>
  </si>
  <si>
    <t>Mercedez benz % diferencia</t>
  </si>
  <si>
    <t xml:space="preserve">Ford </t>
  </si>
  <si>
    <t>Ford % diferencia</t>
  </si>
  <si>
    <t>N/A</t>
  </si>
  <si>
    <t>Flete puerto</t>
  </si>
  <si>
    <t>Carroceria</t>
  </si>
  <si>
    <t>EE.EE (asientos)(Kit Minero)</t>
  </si>
  <si>
    <t>Buses Foton</t>
  </si>
  <si>
    <t>Valor FOB</t>
  </si>
  <si>
    <t>Provision 1%</t>
  </si>
  <si>
    <t>Chile-China</t>
  </si>
  <si>
    <t xml:space="preserve">Envio </t>
  </si>
  <si>
    <t>bateria garantia internacional</t>
  </si>
  <si>
    <t>otros, incluye todo adcional</t>
  </si>
  <si>
    <t>EE.EE</t>
  </si>
  <si>
    <t>Total Costo</t>
  </si>
  <si>
    <t>% Mg Lista Precio</t>
  </si>
  <si>
    <t>Precio venta ex fab USD</t>
  </si>
  <si>
    <t>% Mg Precio Flotas</t>
  </si>
  <si>
    <t>Precio Flotas</t>
  </si>
  <si>
    <t>bateria</t>
  </si>
  <si>
    <t>Bus U12 385 Kwh</t>
  </si>
  <si>
    <t xml:space="preserve"> precio dic 2023</t>
  </si>
  <si>
    <t>Bus U12 350 Kwh</t>
  </si>
  <si>
    <t>Bus U12 282 Kwh</t>
  </si>
  <si>
    <t>Bus U10 315 Kwh</t>
  </si>
  <si>
    <t>Bus U10 310 Kwh</t>
  </si>
  <si>
    <t>Bus U9 266 Kwh</t>
  </si>
  <si>
    <t>Bus U9 255 Kwh</t>
  </si>
  <si>
    <t>Bus U9 228 Kwh</t>
  </si>
  <si>
    <t>Chasis FO Euro VI</t>
  </si>
  <si>
    <t xml:space="preserve"> Balata+ disco</t>
  </si>
  <si>
    <t>Disco</t>
  </si>
  <si>
    <t>Chasis U12 a</t>
  </si>
  <si>
    <t>385 kwh</t>
  </si>
  <si>
    <t>Chasis U12 b</t>
  </si>
  <si>
    <t>350 kwh</t>
  </si>
  <si>
    <t>Chasis U12 c</t>
  </si>
  <si>
    <t>282 kwh</t>
  </si>
  <si>
    <t>Chasis U10</t>
  </si>
  <si>
    <t>315 kwh</t>
  </si>
  <si>
    <t>Chasis U9</t>
  </si>
  <si>
    <t>255 kwh</t>
  </si>
  <si>
    <t>229 Kwh</t>
  </si>
  <si>
    <t>Chasis Coach</t>
  </si>
  <si>
    <t>347</t>
  </si>
  <si>
    <t>382</t>
  </si>
  <si>
    <t>Modelo Chasis</t>
  </si>
  <si>
    <t>Agrale MA9.2 Rural Maxius</t>
  </si>
  <si>
    <t>Agrale MA9.2 Turismo Maxibus</t>
  </si>
  <si>
    <t xml:space="preserve">Agrale Ma10AT Turismo Maxibus </t>
  </si>
  <si>
    <t xml:space="preserve">Anticipo del 80% producción a 120 dias </t>
  </si>
  <si>
    <t>Marrua Mec</t>
  </si>
  <si>
    <t>Marrua Aut</t>
  </si>
  <si>
    <t>Salida de caxias</t>
  </si>
  <si>
    <t>Aduana + Insurance</t>
  </si>
  <si>
    <t>Mobileeye</t>
  </si>
  <si>
    <t>EE.EE (safety kit)</t>
  </si>
  <si>
    <t>Agrale Antiguo</t>
  </si>
  <si>
    <t>pintura+ vaije</t>
  </si>
  <si>
    <t>Precio venta</t>
  </si>
  <si>
    <t>Precio Final a Cliente</t>
  </si>
  <si>
    <t>% Mg Precio</t>
  </si>
  <si>
    <t>Agrale MT9000 piso Bajo + Bepo 2024</t>
  </si>
  <si>
    <t>Agrale MT9000 piso Bajo + Bepo 2025</t>
  </si>
  <si>
    <t>Agrale MT9000 piso Bajo + Bepo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</si>
</sst>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164" formatCode="_-* #,##0.00_-;\-* #,##0.00_-;_-* &quot;-&quot;??_-;_-@_-"/>
    <numFmt numFmtId="165" formatCode="_)@"/>
    <numFmt numFmtId="166" formatCode="_-* #,##0_-;\-* #,##0_-;_-* &quot;-&quot;??_-;_-@_-"/>
    <numFmt numFmtId="167" formatCode="[$US$-3009]#,##0;[Red][$US$-3009]#,##0"/>
    <numFmt numFmtId="168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8"/>
      <color rgb="FFFF0000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9" tint="-0.24994659260841701"/>
      </left>
      <right style="thin">
        <color theme="9" tint="-0.2499465926084170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9" tint="-0.24994659260841701"/>
      </left>
      <right style="thin">
        <color theme="9" tint="-0.24994659260841701"/>
      </right>
      <top style="medium">
        <color indexed="64"/>
      </top>
      <bottom/>
      <diagonal/>
    </border>
    <border>
      <left style="thin">
        <color theme="9" tint="-0.24994659260841701"/>
      </left>
      <right style="thin">
        <color theme="9" tint="-0.24994659260841701"/>
      </right>
      <top/>
      <bottom style="medium">
        <color indexed="64"/>
      </bottom>
      <diagonal/>
    </border>
    <border>
      <left style="medium">
        <color indexed="64"/>
      </left>
      <right style="thin">
        <color theme="9" tint="-0.24994659260841701"/>
      </right>
      <top style="medium">
        <color indexed="64"/>
      </top>
      <bottom/>
      <diagonal/>
    </border>
    <border>
      <left style="medium">
        <color indexed="64"/>
      </left>
      <right style="thin">
        <color theme="9" tint="-0.24994659260841701"/>
      </right>
      <top/>
      <bottom/>
      <diagonal/>
    </border>
    <border>
      <left style="medium">
        <color indexed="64"/>
      </left>
      <right style="thin">
        <color theme="9" tint="-0.2499465926084170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9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9" tint="-0.24994659260841701"/>
      </left>
      <right style="thin">
        <color theme="9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9" tint="-0.2499465926084170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9" tint="-0.24994659260841701"/>
      </left>
      <right style="thin">
        <color theme="9" tint="-0.24994659260841701"/>
      </right>
      <top/>
      <bottom style="thin">
        <color theme="9" tint="-0.2499465926084170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theme="9" tint="-0.2499465926084170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261">
    <xf numFmtId="0" fontId="0" fillId="0" borderId="0" xfId="0"/>
    <xf numFmtId="0" fontId="0" fillId="5" borderId="0" xfId="0" applyFill="1"/>
    <xf numFmtId="3" fontId="0" fillId="5" borderId="0" xfId="0" applyNumberFormat="1" applyFill="1"/>
    <xf numFmtId="166" fontId="0" fillId="5" borderId="0" xfId="1" applyNumberFormat="1" applyFont="1" applyFill="1"/>
    <xf numFmtId="9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textRotation="90"/>
    </xf>
    <xf numFmtId="0" fontId="5" fillId="5" borderId="0" xfId="0" applyFont="1" applyFill="1"/>
    <xf numFmtId="0" fontId="3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4" fontId="3" fillId="5" borderId="0" xfId="1" applyNumberFormat="1" applyFont="1" applyFill="1" applyBorder="1" applyAlignment="1">
      <alignment horizontal="center" vertical="center"/>
    </xf>
    <xf numFmtId="3" fontId="5" fillId="5" borderId="0" xfId="1" applyNumberFormat="1" applyFont="1" applyFill="1" applyBorder="1" applyAlignment="1">
      <alignment horizontal="center" vertical="center"/>
    </xf>
    <xf numFmtId="10" fontId="5" fillId="4" borderId="26" xfId="2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3" fontId="3" fillId="5" borderId="0" xfId="1" applyNumberFormat="1" applyFont="1" applyFill="1" applyBorder="1" applyAlignment="1">
      <alignment horizontal="center" vertical="center"/>
    </xf>
    <xf numFmtId="1" fontId="0" fillId="5" borderId="0" xfId="0" applyNumberFormat="1" applyFill="1"/>
    <xf numFmtId="164" fontId="2" fillId="0" borderId="12" xfId="1" applyFont="1" applyFill="1" applyBorder="1" applyAlignment="1">
      <alignment horizontal="left" vertical="center"/>
    </xf>
    <xf numFmtId="164" fontId="2" fillId="0" borderId="13" xfId="1" applyFont="1" applyFill="1" applyBorder="1" applyAlignment="1">
      <alignment horizontal="left" vertical="center"/>
    </xf>
    <xf numFmtId="0" fontId="0" fillId="5" borderId="0" xfId="0" applyFill="1" applyAlignment="1">
      <alignment horizontal="left"/>
    </xf>
    <xf numFmtId="0" fontId="2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3" fontId="3" fillId="3" borderId="28" xfId="1" applyNumberFormat="1" applyFont="1" applyFill="1" applyBorder="1" applyAlignment="1">
      <alignment horizontal="center" vertical="center"/>
    </xf>
    <xf numFmtId="0" fontId="4" fillId="0" borderId="30" xfId="0" applyFont="1" applyBorder="1" applyAlignment="1">
      <alignment horizontal="left" vertical="center"/>
    </xf>
    <xf numFmtId="165" fontId="2" fillId="0" borderId="28" xfId="0" applyNumberFormat="1" applyFont="1" applyBorder="1" applyAlignment="1">
      <alignment horizontal="center" vertical="center"/>
    </xf>
    <xf numFmtId="3" fontId="7" fillId="0" borderId="28" xfId="1" applyNumberFormat="1" applyFont="1" applyFill="1" applyBorder="1" applyAlignment="1">
      <alignment horizontal="center" vertical="center"/>
    </xf>
    <xf numFmtId="3" fontId="5" fillId="3" borderId="31" xfId="1" applyNumberFormat="1" applyFont="1" applyFill="1" applyBorder="1" applyAlignment="1">
      <alignment horizontal="center" vertical="center"/>
    </xf>
    <xf numFmtId="3" fontId="5" fillId="3" borderId="32" xfId="1" applyNumberFormat="1" applyFont="1" applyFill="1" applyBorder="1" applyAlignment="1">
      <alignment horizontal="center" vertical="center"/>
    </xf>
    <xf numFmtId="3" fontId="5" fillId="3" borderId="33" xfId="1" applyNumberFormat="1" applyFont="1" applyFill="1" applyBorder="1" applyAlignment="1">
      <alignment horizontal="left" vertical="center"/>
    </xf>
    <xf numFmtId="164" fontId="2" fillId="0" borderId="27" xfId="1" applyFont="1" applyFill="1" applyBorder="1" applyAlignment="1">
      <alignment horizontal="left" vertical="center"/>
    </xf>
    <xf numFmtId="10" fontId="2" fillId="5" borderId="0" xfId="0" applyNumberFormat="1" applyFont="1" applyFill="1" applyAlignment="1">
      <alignment horizontal="center" textRotation="90"/>
    </xf>
    <xf numFmtId="10" fontId="0" fillId="5" borderId="0" xfId="0" applyNumberFormat="1" applyFill="1"/>
    <xf numFmtId="10" fontId="5" fillId="4" borderId="20" xfId="2" applyNumberFormat="1" applyFont="1" applyFill="1" applyBorder="1" applyAlignment="1">
      <alignment horizontal="center" vertical="center"/>
    </xf>
    <xf numFmtId="10" fontId="5" fillId="4" borderId="22" xfId="2" applyNumberFormat="1" applyFont="1" applyFill="1" applyBorder="1" applyAlignment="1">
      <alignment horizontal="center" vertical="center"/>
    </xf>
    <xf numFmtId="10" fontId="0" fillId="0" borderId="0" xfId="0" applyNumberFormat="1"/>
    <xf numFmtId="3" fontId="5" fillId="4" borderId="23" xfId="1" applyNumberFormat="1" applyFont="1" applyFill="1" applyBorder="1" applyAlignment="1">
      <alignment horizontal="center" vertical="center"/>
    </xf>
    <xf numFmtId="10" fontId="5" fillId="4" borderId="19" xfId="2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8" fillId="6" borderId="36" xfId="0" applyFont="1" applyFill="1" applyBorder="1" applyAlignment="1">
      <alignment vertical="center" wrapText="1"/>
    </xf>
    <xf numFmtId="42" fontId="5" fillId="4" borderId="19" xfId="3" applyFont="1" applyFill="1" applyBorder="1" applyAlignment="1">
      <alignment horizontal="center" vertical="center"/>
    </xf>
    <xf numFmtId="42" fontId="5" fillId="6" borderId="19" xfId="3" applyFont="1" applyFill="1" applyBorder="1" applyAlignment="1">
      <alignment horizontal="center" vertical="center"/>
    </xf>
    <xf numFmtId="167" fontId="0" fillId="5" borderId="0" xfId="0" applyNumberFormat="1" applyFill="1"/>
    <xf numFmtId="3" fontId="5" fillId="6" borderId="19" xfId="1" applyNumberFormat="1" applyFont="1" applyFill="1" applyBorder="1" applyAlignment="1">
      <alignment horizontal="center" vertical="center"/>
    </xf>
    <xf numFmtId="164" fontId="2" fillId="6" borderId="12" xfId="1" applyFont="1" applyFill="1" applyBorder="1" applyAlignment="1">
      <alignment horizontal="left" vertical="center"/>
    </xf>
    <xf numFmtId="0" fontId="0" fillId="6" borderId="0" xfId="0" applyFill="1"/>
    <xf numFmtId="15" fontId="0" fillId="5" borderId="0" xfId="0" applyNumberFormat="1" applyFill="1"/>
    <xf numFmtId="42" fontId="5" fillId="4" borderId="37" xfId="3" applyFont="1" applyFill="1" applyBorder="1" applyAlignment="1">
      <alignment horizontal="center" vertical="center"/>
    </xf>
    <xf numFmtId="3" fontId="5" fillId="3" borderId="33" xfId="1" applyNumberFormat="1" applyFont="1" applyFill="1" applyBorder="1" applyAlignment="1">
      <alignment horizontal="center" vertical="center"/>
    </xf>
    <xf numFmtId="42" fontId="5" fillId="5" borderId="19" xfId="3" applyFont="1" applyFill="1" applyBorder="1" applyAlignment="1">
      <alignment horizontal="center" vertical="center"/>
    </xf>
    <xf numFmtId="0" fontId="15" fillId="0" borderId="30" xfId="0" applyFont="1" applyBorder="1" applyAlignment="1">
      <alignment horizontal="left" vertical="center"/>
    </xf>
    <xf numFmtId="165" fontId="16" fillId="0" borderId="28" xfId="0" applyNumberFormat="1" applyFont="1" applyBorder="1" applyAlignment="1">
      <alignment horizontal="center" vertical="center"/>
    </xf>
    <xf numFmtId="3" fontId="17" fillId="0" borderId="28" xfId="1" applyNumberFormat="1" applyFont="1" applyBorder="1" applyAlignment="1">
      <alignment horizontal="center" vertical="center"/>
    </xf>
    <xf numFmtId="3" fontId="18" fillId="3" borderId="31" xfId="1" applyNumberFormat="1" applyFont="1" applyFill="1" applyBorder="1" applyAlignment="1">
      <alignment horizontal="center" vertical="center"/>
    </xf>
    <xf numFmtId="3" fontId="18" fillId="3" borderId="32" xfId="1" applyNumberFormat="1" applyFont="1" applyFill="1" applyBorder="1" applyAlignment="1">
      <alignment horizontal="center" vertical="center"/>
    </xf>
    <xf numFmtId="3" fontId="18" fillId="3" borderId="33" xfId="1" applyNumberFormat="1" applyFont="1" applyFill="1" applyBorder="1" applyAlignment="1">
      <alignment horizontal="center" vertical="center"/>
    </xf>
    <xf numFmtId="3" fontId="18" fillId="3" borderId="33" xfId="1" applyNumberFormat="1" applyFont="1" applyFill="1" applyBorder="1" applyAlignment="1">
      <alignment horizontal="left" vertical="center"/>
    </xf>
    <xf numFmtId="3" fontId="19" fillId="3" borderId="28" xfId="1" applyNumberFormat="1" applyFont="1" applyFill="1" applyBorder="1" applyAlignment="1">
      <alignment horizontal="center" vertical="center"/>
    </xf>
    <xf numFmtId="10" fontId="18" fillId="4" borderId="20" xfId="2" applyNumberFormat="1" applyFont="1" applyFill="1" applyBorder="1" applyAlignment="1">
      <alignment horizontal="center" vertical="center"/>
    </xf>
    <xf numFmtId="3" fontId="18" fillId="4" borderId="21" xfId="1" applyNumberFormat="1" applyFont="1" applyFill="1" applyBorder="1" applyAlignment="1">
      <alignment horizontal="center" vertical="center"/>
    </xf>
    <xf numFmtId="3" fontId="18" fillId="4" borderId="37" xfId="1" applyNumberFormat="1" applyFont="1" applyFill="1" applyBorder="1" applyAlignment="1">
      <alignment horizontal="center" vertical="center"/>
    </xf>
    <xf numFmtId="10" fontId="18" fillId="4" borderId="19" xfId="2" applyNumberFormat="1" applyFont="1" applyFill="1" applyBorder="1" applyAlignment="1">
      <alignment horizontal="center" vertical="center"/>
    </xf>
    <xf numFmtId="164" fontId="16" fillId="0" borderId="13" xfId="1" applyFont="1" applyBorder="1" applyAlignment="1">
      <alignment horizontal="left" vertical="center"/>
    </xf>
    <xf numFmtId="10" fontId="5" fillId="4" borderId="47" xfId="2" applyNumberFormat="1" applyFont="1" applyFill="1" applyBorder="1" applyAlignment="1">
      <alignment horizontal="center" vertical="center"/>
    </xf>
    <xf numFmtId="10" fontId="5" fillId="4" borderId="48" xfId="2" applyNumberFormat="1" applyFont="1" applyFill="1" applyBorder="1" applyAlignment="1">
      <alignment horizontal="center" vertical="center"/>
    </xf>
    <xf numFmtId="3" fontId="5" fillId="4" borderId="44" xfId="1" applyNumberFormat="1" applyFont="1" applyFill="1" applyBorder="1" applyAlignment="1">
      <alignment horizontal="center" vertical="center"/>
    </xf>
    <xf numFmtId="4" fontId="3" fillId="0" borderId="0" xfId="1" applyNumberFormat="1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 wrapText="1"/>
    </xf>
    <xf numFmtId="3" fontId="19" fillId="5" borderId="0" xfId="1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textRotation="90"/>
    </xf>
    <xf numFmtId="0" fontId="2" fillId="5" borderId="0" xfId="0" applyFont="1" applyFill="1" applyAlignment="1">
      <alignment horizontal="center" vertical="center" textRotation="90" wrapText="1"/>
    </xf>
    <xf numFmtId="0" fontId="14" fillId="5" borderId="0" xfId="0" applyFont="1" applyFill="1" applyAlignment="1">
      <alignment horizontal="center" vertical="center" textRotation="90" wrapText="1"/>
    </xf>
    <xf numFmtId="10" fontId="3" fillId="5" borderId="0" xfId="0" applyNumberFormat="1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8" fontId="3" fillId="5" borderId="43" xfId="2" applyNumberFormat="1" applyFont="1" applyFill="1" applyBorder="1" applyAlignment="1">
      <alignment horizontal="center" vertical="center"/>
    </xf>
    <xf numFmtId="168" fontId="3" fillId="5" borderId="39" xfId="2" applyNumberFormat="1" applyFont="1" applyFill="1" applyBorder="1" applyAlignment="1">
      <alignment horizontal="center" vertical="center"/>
    </xf>
    <xf numFmtId="0" fontId="0" fillId="8" borderId="0" xfId="0" applyFill="1"/>
    <xf numFmtId="3" fontId="18" fillId="4" borderId="19" xfId="1" applyNumberFormat="1" applyFont="1" applyFill="1" applyBorder="1" applyAlignment="1">
      <alignment horizontal="center" vertical="center"/>
    </xf>
    <xf numFmtId="42" fontId="18" fillId="5" borderId="19" xfId="3" applyFont="1" applyFill="1" applyBorder="1" applyAlignment="1">
      <alignment horizontal="center" vertical="center"/>
    </xf>
    <xf numFmtId="42" fontId="18" fillId="4" borderId="19" xfId="3" applyFont="1" applyFill="1" applyBorder="1" applyAlignment="1">
      <alignment horizontal="center" vertical="center"/>
    </xf>
    <xf numFmtId="42" fontId="18" fillId="6" borderId="19" xfId="3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 wrapText="1"/>
    </xf>
    <xf numFmtId="42" fontId="5" fillId="4" borderId="19" xfId="2" applyNumberFormat="1" applyFont="1" applyFill="1" applyBorder="1" applyAlignment="1">
      <alignment horizontal="center" vertical="center"/>
    </xf>
    <xf numFmtId="168" fontId="5" fillId="5" borderId="19" xfId="2" applyNumberFormat="1" applyFont="1" applyFill="1" applyBorder="1" applyAlignment="1">
      <alignment horizontal="center" vertical="center"/>
    </xf>
    <xf numFmtId="3" fontId="3" fillId="0" borderId="0" xfId="1" applyNumberFormat="1" applyFont="1" applyFill="1" applyBorder="1" applyAlignment="1">
      <alignment horizontal="center" vertical="center"/>
    </xf>
    <xf numFmtId="3" fontId="5" fillId="0" borderId="0" xfId="1" applyNumberFormat="1" applyFont="1" applyFill="1" applyBorder="1" applyAlignment="1">
      <alignment horizontal="center" vertical="center"/>
    </xf>
    <xf numFmtId="3" fontId="19" fillId="0" borderId="0" xfId="1" applyNumberFormat="1" applyFont="1" applyFill="1" applyAlignment="1">
      <alignment horizontal="center" vertical="center"/>
    </xf>
    <xf numFmtId="10" fontId="5" fillId="0" borderId="0" xfId="2" applyNumberFormat="1" applyFont="1" applyFill="1" applyBorder="1" applyAlignment="1">
      <alignment horizontal="center" vertical="center"/>
    </xf>
    <xf numFmtId="164" fontId="2" fillId="0" borderId="0" xfId="1" applyFont="1" applyFill="1" applyBorder="1" applyAlignment="1">
      <alignment horizontal="left" vertical="center"/>
    </xf>
    <xf numFmtId="1" fontId="0" fillId="0" borderId="0" xfId="0" applyNumberFormat="1"/>
    <xf numFmtId="167" fontId="0" fillId="0" borderId="0" xfId="0" applyNumberFormat="1"/>
    <xf numFmtId="0" fontId="4" fillId="5" borderId="22" xfId="0" applyFont="1" applyFill="1" applyBorder="1" applyAlignment="1">
      <alignment horizontal="left" vertical="center"/>
    </xf>
    <xf numFmtId="3" fontId="5" fillId="5" borderId="21" xfId="1" applyNumberFormat="1" applyFont="1" applyFill="1" applyBorder="1" applyAlignment="1">
      <alignment horizontal="center" vertical="center"/>
    </xf>
    <xf numFmtId="42" fontId="5" fillId="5" borderId="29" xfId="3" applyFont="1" applyFill="1" applyBorder="1" applyAlignment="1">
      <alignment horizontal="center" vertical="center"/>
    </xf>
    <xf numFmtId="10" fontId="5" fillId="5" borderId="19" xfId="2" applyNumberFormat="1" applyFont="1" applyFill="1" applyBorder="1" applyAlignment="1">
      <alignment horizontal="center" vertical="center"/>
    </xf>
    <xf numFmtId="164" fontId="2" fillId="5" borderId="27" xfId="1" applyFont="1" applyFill="1" applyBorder="1" applyAlignment="1">
      <alignment horizontal="left" vertical="center"/>
    </xf>
    <xf numFmtId="164" fontId="2" fillId="5" borderId="19" xfId="1" applyFont="1" applyFill="1" applyBorder="1" applyAlignment="1">
      <alignment horizontal="left" vertical="center"/>
    </xf>
    <xf numFmtId="3" fontId="5" fillId="5" borderId="19" xfId="1" applyNumberFormat="1" applyFont="1" applyFill="1" applyBorder="1" applyAlignment="1">
      <alignment horizontal="center" vertical="center"/>
    </xf>
    <xf numFmtId="3" fontId="12" fillId="5" borderId="19" xfId="1" applyNumberFormat="1" applyFont="1" applyFill="1" applyBorder="1" applyAlignment="1">
      <alignment horizontal="center" vertical="center"/>
    </xf>
    <xf numFmtId="3" fontId="5" fillId="5" borderId="19" xfId="1" applyNumberFormat="1" applyFont="1" applyFill="1" applyBorder="1" applyAlignment="1">
      <alignment horizontal="left" vertical="center"/>
    </xf>
    <xf numFmtId="0" fontId="3" fillId="9" borderId="0" xfId="0" applyFont="1" applyFill="1" applyAlignment="1">
      <alignment horizontal="center" vertical="center" wrapText="1"/>
    </xf>
    <xf numFmtId="3" fontId="5" fillId="5" borderId="34" xfId="1" applyNumberFormat="1" applyFont="1" applyFill="1" applyBorder="1" applyAlignment="1">
      <alignment horizontal="center" vertical="center"/>
    </xf>
    <xf numFmtId="3" fontId="5" fillId="5" borderId="37" xfId="1" applyNumberFormat="1" applyFont="1" applyFill="1" applyBorder="1" applyAlignment="1">
      <alignment horizontal="center" vertical="center"/>
    </xf>
    <xf numFmtId="0" fontId="13" fillId="5" borderId="0" xfId="0" applyFont="1" applyFill="1"/>
    <xf numFmtId="0" fontId="13" fillId="5" borderId="19" xfId="0" applyFont="1" applyFill="1" applyBorder="1"/>
    <xf numFmtId="168" fontId="3" fillId="5" borderId="0" xfId="2" applyNumberFormat="1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/>
    </xf>
    <xf numFmtId="3" fontId="5" fillId="5" borderId="23" xfId="1" applyNumberFormat="1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left" vertical="center"/>
    </xf>
    <xf numFmtId="165" fontId="2" fillId="5" borderId="28" xfId="0" applyNumberFormat="1" applyFont="1" applyFill="1" applyBorder="1" applyAlignment="1">
      <alignment horizontal="center" vertical="center"/>
    </xf>
    <xf numFmtId="3" fontId="7" fillId="5" borderId="28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3" fontId="18" fillId="5" borderId="37" xfId="1" applyNumberFormat="1" applyFont="1" applyFill="1" applyBorder="1" applyAlignment="1">
      <alignment horizontal="center" vertical="center"/>
    </xf>
    <xf numFmtId="164" fontId="2" fillId="5" borderId="13" xfId="1" applyFont="1" applyFill="1" applyBorder="1" applyAlignment="1">
      <alignment horizontal="left" vertical="center"/>
    </xf>
    <xf numFmtId="42" fontId="5" fillId="5" borderId="28" xfId="3" applyFont="1" applyFill="1" applyBorder="1" applyAlignment="1">
      <alignment horizontal="center" vertical="center"/>
    </xf>
    <xf numFmtId="3" fontId="5" fillId="5" borderId="0" xfId="1" applyNumberFormat="1" applyFont="1" applyFill="1" applyBorder="1" applyAlignment="1">
      <alignment horizontal="left" vertical="center"/>
    </xf>
    <xf numFmtId="42" fontId="5" fillId="5" borderId="0" xfId="3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165" fontId="2" fillId="5" borderId="0" xfId="0" applyNumberFormat="1" applyFont="1" applyFill="1" applyAlignment="1">
      <alignment horizontal="center" vertical="center"/>
    </xf>
    <xf numFmtId="3" fontId="7" fillId="5" borderId="0" xfId="1" applyNumberFormat="1" applyFont="1" applyFill="1" applyBorder="1" applyAlignment="1">
      <alignment horizontal="center" vertical="center"/>
    </xf>
    <xf numFmtId="10" fontId="5" fillId="5" borderId="0" xfId="2" applyNumberFormat="1" applyFont="1" applyFill="1" applyBorder="1" applyAlignment="1">
      <alignment horizontal="center" vertical="center"/>
    </xf>
    <xf numFmtId="42" fontId="18" fillId="5" borderId="0" xfId="3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textRotation="90" wrapText="1"/>
    </xf>
    <xf numFmtId="0" fontId="4" fillId="2" borderId="5" xfId="0" applyFont="1" applyFill="1" applyBorder="1" applyAlignment="1">
      <alignment horizontal="center" vertical="center" textRotation="90" wrapText="1"/>
    </xf>
    <xf numFmtId="0" fontId="4" fillId="2" borderId="15" xfId="0" applyFont="1" applyFill="1" applyBorder="1" applyAlignment="1">
      <alignment horizontal="center" vertical="center" textRotation="90" wrapText="1"/>
    </xf>
    <xf numFmtId="164" fontId="2" fillId="5" borderId="0" xfId="1" applyFont="1" applyFill="1" applyBorder="1" applyAlignment="1">
      <alignment horizontal="left" vertical="center"/>
    </xf>
    <xf numFmtId="42" fontId="5" fillId="4" borderId="19" xfId="3" applyFont="1" applyFill="1" applyBorder="1" applyAlignment="1">
      <alignment horizontal="right" vertical="center"/>
    </xf>
    <xf numFmtId="3" fontId="3" fillId="5" borderId="19" xfId="1" applyNumberFormat="1" applyFont="1" applyFill="1" applyBorder="1" applyAlignment="1">
      <alignment horizontal="center" vertical="center"/>
    </xf>
    <xf numFmtId="0" fontId="13" fillId="7" borderId="19" xfId="0" applyFont="1" applyFill="1" applyBorder="1"/>
    <xf numFmtId="0" fontId="4" fillId="10" borderId="22" xfId="0" applyFont="1" applyFill="1" applyBorder="1" applyAlignment="1">
      <alignment horizontal="left" vertical="center"/>
    </xf>
    <xf numFmtId="3" fontId="5" fillId="10" borderId="21" xfId="1" applyNumberFormat="1" applyFont="1" applyFill="1" applyBorder="1" applyAlignment="1">
      <alignment horizontal="center" vertical="center"/>
    </xf>
    <xf numFmtId="3" fontId="5" fillId="10" borderId="19" xfId="1" applyNumberFormat="1" applyFont="1" applyFill="1" applyBorder="1" applyAlignment="1">
      <alignment horizontal="center" vertical="center"/>
    </xf>
    <xf numFmtId="3" fontId="5" fillId="5" borderId="26" xfId="1" applyNumberFormat="1" applyFont="1" applyFill="1" applyBorder="1" applyAlignment="1">
      <alignment horizontal="center" vertical="center"/>
    </xf>
    <xf numFmtId="10" fontId="3" fillId="5" borderId="0" xfId="2" applyNumberFormat="1" applyFont="1" applyFill="1" applyBorder="1" applyAlignment="1">
      <alignment horizontal="center" vertical="center"/>
    </xf>
    <xf numFmtId="4" fontId="5" fillId="5" borderId="0" xfId="1" applyNumberFormat="1" applyFont="1" applyFill="1" applyBorder="1" applyAlignment="1">
      <alignment horizontal="left" vertical="center"/>
    </xf>
    <xf numFmtId="3" fontId="5" fillId="5" borderId="32" xfId="1" applyNumberFormat="1" applyFont="1" applyFill="1" applyBorder="1" applyAlignment="1">
      <alignment horizontal="center" vertical="center"/>
    </xf>
    <xf numFmtId="3" fontId="5" fillId="5" borderId="33" xfId="1" applyNumberFormat="1" applyFont="1" applyFill="1" applyBorder="1" applyAlignment="1">
      <alignment horizontal="center" vertical="center"/>
    </xf>
    <xf numFmtId="3" fontId="5" fillId="5" borderId="33" xfId="1" applyNumberFormat="1" applyFont="1" applyFill="1" applyBorder="1" applyAlignment="1">
      <alignment horizontal="left" vertical="center"/>
    </xf>
    <xf numFmtId="3" fontId="3" fillId="5" borderId="30" xfId="1" applyNumberFormat="1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left" vertical="center"/>
    </xf>
    <xf numFmtId="165" fontId="2" fillId="5" borderId="40" xfId="0" applyNumberFormat="1" applyFont="1" applyFill="1" applyBorder="1" applyAlignment="1">
      <alignment horizontal="center" vertical="center"/>
    </xf>
    <xf numFmtId="3" fontId="7" fillId="5" borderId="40" xfId="1" applyNumberFormat="1" applyFont="1" applyFill="1" applyBorder="1" applyAlignment="1">
      <alignment horizontal="center" vertical="center"/>
    </xf>
    <xf numFmtId="3" fontId="5" fillId="5" borderId="41" xfId="1" applyNumberFormat="1" applyFont="1" applyFill="1" applyBorder="1" applyAlignment="1">
      <alignment horizontal="center" vertical="center"/>
    </xf>
    <xf numFmtId="3" fontId="5" fillId="5" borderId="46" xfId="1" applyNumberFormat="1" applyFont="1" applyFill="1" applyBorder="1" applyAlignment="1">
      <alignment horizontal="center" vertical="center"/>
    </xf>
    <xf numFmtId="3" fontId="5" fillId="5" borderId="46" xfId="1" applyNumberFormat="1" applyFont="1" applyFill="1" applyBorder="1" applyAlignment="1">
      <alignment horizontal="left" vertical="center"/>
    </xf>
    <xf numFmtId="3" fontId="3" fillId="5" borderId="49" xfId="1" applyNumberFormat="1" applyFont="1" applyFill="1" applyBorder="1" applyAlignment="1">
      <alignment horizontal="center" vertical="center"/>
    </xf>
    <xf numFmtId="3" fontId="3" fillId="5" borderId="39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left" vertical="center"/>
    </xf>
    <xf numFmtId="165" fontId="2" fillId="5" borderId="24" xfId="0" applyNumberFormat="1" applyFont="1" applyFill="1" applyBorder="1" applyAlignment="1">
      <alignment horizontal="center" vertical="center"/>
    </xf>
    <xf numFmtId="3" fontId="7" fillId="5" borderId="24" xfId="1" applyNumberFormat="1" applyFont="1" applyFill="1" applyBorder="1" applyAlignment="1">
      <alignment horizontal="center" vertical="center"/>
    </xf>
    <xf numFmtId="3" fontId="5" fillId="5" borderId="11" xfId="1" applyNumberFormat="1" applyFont="1" applyFill="1" applyBorder="1" applyAlignment="1">
      <alignment horizontal="center" vertical="center"/>
    </xf>
    <xf numFmtId="3" fontId="5" fillId="5" borderId="25" xfId="1" applyNumberFormat="1" applyFont="1" applyFill="1" applyBorder="1" applyAlignment="1">
      <alignment horizontal="center" vertical="center"/>
    </xf>
    <xf numFmtId="3" fontId="5" fillId="5" borderId="25" xfId="1" applyNumberFormat="1" applyFont="1" applyFill="1" applyBorder="1" applyAlignment="1">
      <alignment horizontal="left" vertical="center"/>
    </xf>
    <xf numFmtId="3" fontId="3" fillId="5" borderId="38" xfId="1" applyNumberFormat="1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left" vertical="center"/>
    </xf>
    <xf numFmtId="165" fontId="2" fillId="5" borderId="19" xfId="0" applyNumberFormat="1" applyFont="1" applyFill="1" applyBorder="1" applyAlignment="1">
      <alignment horizontal="center" vertical="center"/>
    </xf>
    <xf numFmtId="3" fontId="7" fillId="5" borderId="19" xfId="1" applyNumberFormat="1" applyFont="1" applyFill="1" applyBorder="1" applyAlignment="1">
      <alignment horizontal="center" vertical="center"/>
    </xf>
    <xf numFmtId="3" fontId="5" fillId="10" borderId="26" xfId="1" applyNumberFormat="1" applyFont="1" applyFill="1" applyBorder="1" applyAlignment="1">
      <alignment horizontal="center" vertical="center"/>
    </xf>
    <xf numFmtId="42" fontId="5" fillId="10" borderId="19" xfId="3" applyFont="1" applyFill="1" applyBorder="1" applyAlignment="1">
      <alignment horizontal="center" vertical="center"/>
    </xf>
    <xf numFmtId="3" fontId="5" fillId="10" borderId="37" xfId="1" applyNumberFormat="1" applyFont="1" applyFill="1" applyBorder="1" applyAlignment="1">
      <alignment horizontal="center" vertical="center"/>
    </xf>
    <xf numFmtId="3" fontId="5" fillId="6" borderId="26" xfId="1" applyNumberFormat="1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/>
    </xf>
    <xf numFmtId="0" fontId="6" fillId="10" borderId="19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42" fontId="0" fillId="0" borderId="19" xfId="3" applyFont="1" applyBorder="1"/>
    <xf numFmtId="9" fontId="0" fillId="0" borderId="19" xfId="2" applyFont="1" applyBorder="1"/>
    <xf numFmtId="9" fontId="0" fillId="0" borderId="19" xfId="2" applyFont="1" applyBorder="1" applyAlignment="1">
      <alignment horizontal="center"/>
    </xf>
    <xf numFmtId="0" fontId="23" fillId="5" borderId="0" xfId="4" applyFill="1"/>
    <xf numFmtId="0" fontId="20" fillId="5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textRotation="90"/>
    </xf>
    <xf numFmtId="0" fontId="4" fillId="2" borderId="17" xfId="0" applyFont="1" applyFill="1" applyBorder="1" applyAlignment="1">
      <alignment horizontal="center" vertical="center" textRotation="90"/>
    </xf>
    <xf numFmtId="0" fontId="4" fillId="2" borderId="18" xfId="0" applyFont="1" applyFill="1" applyBorder="1" applyAlignment="1">
      <alignment horizontal="center" vertical="center" textRotation="90"/>
    </xf>
    <xf numFmtId="0" fontId="4" fillId="2" borderId="14" xfId="0" applyFont="1" applyFill="1" applyBorder="1" applyAlignment="1">
      <alignment horizontal="center" vertical="center" textRotation="90"/>
    </xf>
    <xf numFmtId="0" fontId="4" fillId="2" borderId="5" xfId="0" applyFont="1" applyFill="1" applyBorder="1" applyAlignment="1">
      <alignment horizontal="center" vertical="center" textRotation="90"/>
    </xf>
    <xf numFmtId="0" fontId="4" fillId="2" borderId="15" xfId="0" applyFont="1" applyFill="1" applyBorder="1" applyAlignment="1">
      <alignment horizontal="center" vertical="center" textRotation="90"/>
    </xf>
    <xf numFmtId="0" fontId="8" fillId="6" borderId="3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textRotation="90" wrapText="1"/>
    </xf>
    <xf numFmtId="0" fontId="4" fillId="2" borderId="5" xfId="0" applyFont="1" applyFill="1" applyBorder="1" applyAlignment="1">
      <alignment horizontal="center" vertical="center" textRotation="90" wrapText="1"/>
    </xf>
    <xf numFmtId="0" fontId="4" fillId="2" borderId="15" xfId="0" applyFont="1" applyFill="1" applyBorder="1" applyAlignment="1">
      <alignment horizontal="center" vertical="center" textRotation="90" wrapText="1"/>
    </xf>
    <xf numFmtId="0" fontId="21" fillId="2" borderId="14" xfId="0" applyFont="1" applyFill="1" applyBorder="1" applyAlignment="1">
      <alignment horizontal="center" vertical="center" textRotation="90" wrapText="1"/>
    </xf>
    <xf numFmtId="0" fontId="21" fillId="2" borderId="5" xfId="0" applyFont="1" applyFill="1" applyBorder="1" applyAlignment="1">
      <alignment horizontal="center" vertical="center" textRotation="90" wrapText="1"/>
    </xf>
    <xf numFmtId="0" fontId="21" fillId="2" borderId="15" xfId="0" applyFont="1" applyFill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10" fontId="3" fillId="2" borderId="4" xfId="0" applyNumberFormat="1" applyFont="1" applyFill="1" applyBorder="1" applyAlignment="1">
      <alignment horizontal="center" vertical="center" wrapText="1"/>
    </xf>
    <xf numFmtId="10" fontId="3" fillId="2" borderId="7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4" fillId="2" borderId="34" xfId="0" applyFont="1" applyFill="1" applyBorder="1" applyAlignment="1">
      <alignment horizontal="center" vertical="center" textRotation="90" wrapText="1"/>
    </xf>
    <xf numFmtId="0" fontId="4" fillId="2" borderId="39" xfId="0" applyFont="1" applyFill="1" applyBorder="1" applyAlignment="1">
      <alignment horizontal="center" vertical="center" textRotation="90" wrapText="1"/>
    </xf>
    <xf numFmtId="0" fontId="4" fillId="2" borderId="52" xfId="0" applyFont="1" applyFill="1" applyBorder="1" applyAlignment="1">
      <alignment horizontal="center" vertical="center" textRotation="90" wrapText="1"/>
    </xf>
    <xf numFmtId="0" fontId="4" fillId="2" borderId="34" xfId="0" applyFont="1" applyFill="1" applyBorder="1" applyAlignment="1">
      <alignment horizontal="center" vertical="center" textRotation="90"/>
    </xf>
    <xf numFmtId="0" fontId="4" fillId="2" borderId="39" xfId="0" applyFont="1" applyFill="1" applyBorder="1" applyAlignment="1">
      <alignment horizontal="center" vertical="center" textRotation="90"/>
    </xf>
    <xf numFmtId="0" fontId="4" fillId="2" borderId="52" xfId="0" applyFont="1" applyFill="1" applyBorder="1" applyAlignment="1">
      <alignment horizontal="center" vertical="center" textRotation="90"/>
    </xf>
    <xf numFmtId="0" fontId="21" fillId="2" borderId="34" xfId="0" applyFont="1" applyFill="1" applyBorder="1" applyAlignment="1">
      <alignment horizontal="center" vertical="center" textRotation="90" wrapText="1"/>
    </xf>
    <xf numFmtId="0" fontId="21" fillId="2" borderId="39" xfId="0" applyFont="1" applyFill="1" applyBorder="1" applyAlignment="1">
      <alignment horizontal="center" vertical="center" textRotation="90" wrapText="1"/>
    </xf>
    <xf numFmtId="0" fontId="21" fillId="2" borderId="52" xfId="0" applyFont="1" applyFill="1" applyBorder="1" applyAlignment="1">
      <alignment horizontal="center" vertical="center" textRotation="90" wrapText="1"/>
    </xf>
    <xf numFmtId="0" fontId="4" fillId="2" borderId="35" xfId="0" applyFont="1" applyFill="1" applyBorder="1" applyAlignment="1">
      <alignment horizontal="center" vertical="center" textRotation="90" wrapText="1"/>
    </xf>
    <xf numFmtId="0" fontId="4" fillId="2" borderId="50" xfId="0" applyFont="1" applyFill="1" applyBorder="1" applyAlignment="1">
      <alignment horizontal="center" vertical="center" textRotation="90" wrapText="1"/>
    </xf>
    <xf numFmtId="0" fontId="4" fillId="2" borderId="51" xfId="0" applyFont="1" applyFill="1" applyBorder="1" applyAlignment="1">
      <alignment horizontal="center" vertical="center" textRotation="90" wrapText="1"/>
    </xf>
    <xf numFmtId="0" fontId="4" fillId="2" borderId="53" xfId="0" applyFont="1" applyFill="1" applyBorder="1" applyAlignment="1">
      <alignment horizontal="center" vertical="center" textRotation="90"/>
    </xf>
    <xf numFmtId="0" fontId="4" fillId="2" borderId="42" xfId="0" applyFont="1" applyFill="1" applyBorder="1" applyAlignment="1">
      <alignment horizontal="center" vertical="center" textRotation="90"/>
    </xf>
    <xf numFmtId="0" fontId="4" fillId="2" borderId="54" xfId="0" applyFont="1" applyFill="1" applyBorder="1" applyAlignment="1">
      <alignment horizontal="center" vertical="center" textRotation="90"/>
    </xf>
    <xf numFmtId="0" fontId="22" fillId="5" borderId="8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 vertical="center" wrapText="1"/>
    </xf>
    <xf numFmtId="0" fontId="3" fillId="2" borderId="50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textRotation="90" wrapText="1"/>
    </xf>
    <xf numFmtId="0" fontId="4" fillId="2" borderId="17" xfId="0" applyFont="1" applyFill="1" applyBorder="1" applyAlignment="1">
      <alignment horizontal="center" vertical="center" textRotation="90" wrapText="1"/>
    </xf>
    <xf numFmtId="0" fontId="4" fillId="2" borderId="18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</cellXfs>
  <cellStyles count="5">
    <cellStyle name="Hyperlink" xfId="4" xr:uid="{00000000-000B-0000-0000-000008000000}"/>
    <cellStyle name="Millares" xfId="1" builtinId="3"/>
    <cellStyle name="Moneda [0]" xfId="3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99553</xdr:colOff>
      <xdr:row>30</xdr:row>
      <xdr:rowOff>50331</xdr:rowOff>
    </xdr:from>
    <xdr:to>
      <xdr:col>2</xdr:col>
      <xdr:colOff>820140</xdr:colOff>
      <xdr:row>52</xdr:row>
      <xdr:rowOff>136859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D8A0D4-1296-4917-1FC5-BFB1C0359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759" y="6054816"/>
          <a:ext cx="3120513" cy="4391455"/>
        </a:xfrm>
        <a:prstGeom prst="rect">
          <a:avLst/>
        </a:prstGeom>
      </xdr:spPr>
    </xdr:pic>
    <xdr:clientData/>
  </xdr:twoCellAnchor>
  <xdr:twoCellAnchor editAs="oneCell">
    <xdr:from>
      <xdr:col>2</xdr:col>
      <xdr:colOff>818032</xdr:colOff>
      <xdr:row>30</xdr:row>
      <xdr:rowOff>46690</xdr:rowOff>
    </xdr:from>
    <xdr:to>
      <xdr:col>14</xdr:col>
      <xdr:colOff>3918</xdr:colOff>
      <xdr:row>47</xdr:row>
      <xdr:rowOff>125292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EDCD66-367C-50BE-C995-0DFB5AC1F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164" y="6051175"/>
          <a:ext cx="5302430" cy="344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361593</xdr:colOff>
      <xdr:row>30</xdr:row>
      <xdr:rowOff>46691</xdr:rowOff>
    </xdr:from>
    <xdr:to>
      <xdr:col>19</xdr:col>
      <xdr:colOff>174226</xdr:colOff>
      <xdr:row>49</xdr:row>
      <xdr:rowOff>70502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ACCBC11-0304-A7DC-3CF6-44C85B6B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68725" y="6051176"/>
          <a:ext cx="4033516" cy="3768444"/>
        </a:xfrm>
        <a:prstGeom prst="rect">
          <a:avLst/>
        </a:prstGeom>
      </xdr:spPr>
    </xdr:pic>
    <xdr:clientData/>
  </xdr:twoCellAnchor>
  <xdr:twoCellAnchor editAs="oneCell">
    <xdr:from>
      <xdr:col>7</xdr:col>
      <xdr:colOff>88511</xdr:colOff>
      <xdr:row>56</xdr:row>
      <xdr:rowOff>20326</xdr:rowOff>
    </xdr:from>
    <xdr:to>
      <xdr:col>17</xdr:col>
      <xdr:colOff>94373</xdr:colOff>
      <xdr:row>74</xdr:row>
      <xdr:rowOff>26960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D499D46-A26B-5AD0-999E-4C57B17B0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46305" y="11076797"/>
          <a:ext cx="5524759" cy="3368398"/>
        </a:xfrm>
        <a:prstGeom prst="rect">
          <a:avLst/>
        </a:prstGeom>
      </xdr:spPr>
    </xdr:pic>
    <xdr:clientData/>
  </xdr:twoCellAnchor>
  <xdr:twoCellAnchor editAs="oneCell">
    <xdr:from>
      <xdr:col>1</xdr:col>
      <xdr:colOff>53081</xdr:colOff>
      <xdr:row>55</xdr:row>
      <xdr:rowOff>173934</xdr:rowOff>
    </xdr:from>
    <xdr:to>
      <xdr:col>7</xdr:col>
      <xdr:colOff>32979</xdr:colOff>
      <xdr:row>73</xdr:row>
      <xdr:rowOff>114638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E0F0C82-F996-6BA6-5F00-4727E58FD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2364" y="11032434"/>
          <a:ext cx="5545811" cy="33697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13</xdr:row>
      <xdr:rowOff>66675</xdr:rowOff>
    </xdr:from>
    <xdr:to>
      <xdr:col>7</xdr:col>
      <xdr:colOff>223232</xdr:colOff>
      <xdr:row>36</xdr:row>
      <xdr:rowOff>69063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C4EF87-2FDC-4156-93DA-3A6E9CA6E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971675"/>
          <a:ext cx="6738332" cy="4383888"/>
        </a:xfrm>
        <a:prstGeom prst="rect">
          <a:avLst/>
        </a:prstGeom>
      </xdr:spPr>
    </xdr:pic>
    <xdr:clientData/>
  </xdr:twoCellAnchor>
  <xdr:twoCellAnchor editAs="oneCell">
    <xdr:from>
      <xdr:col>7</xdr:col>
      <xdr:colOff>219075</xdr:colOff>
      <xdr:row>13</xdr:row>
      <xdr:rowOff>66675</xdr:rowOff>
    </xdr:from>
    <xdr:to>
      <xdr:col>13</xdr:col>
      <xdr:colOff>348349</xdr:colOff>
      <xdr:row>36</xdr:row>
      <xdr:rowOff>77494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C5AE5B-E377-4A52-9A49-8F84F15B1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91325" y="2924175"/>
          <a:ext cx="4701274" cy="4392319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38</xdr:row>
      <xdr:rowOff>19050</xdr:rowOff>
    </xdr:from>
    <xdr:to>
      <xdr:col>5</xdr:col>
      <xdr:colOff>668686</xdr:colOff>
      <xdr:row>55</xdr:row>
      <xdr:rowOff>83019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70E8F84-D487-4D81-8DE5-84F5AADA9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6686550"/>
          <a:ext cx="5545486" cy="3302469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38</xdr:row>
      <xdr:rowOff>142875</xdr:rowOff>
    </xdr:from>
    <xdr:to>
      <xdr:col>14</xdr:col>
      <xdr:colOff>276484</xdr:colOff>
      <xdr:row>56</xdr:row>
      <xdr:rowOff>82273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9F5D88D-6918-440C-85AE-E83024BE0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24525" y="6810375"/>
          <a:ext cx="5524759" cy="3368398"/>
        </a:xfrm>
        <a:prstGeom prst="rect">
          <a:avLst/>
        </a:prstGeom>
      </xdr:spPr>
    </xdr:pic>
    <xdr:clientData/>
  </xdr:twoCellAnchor>
  <xdr:twoCellAnchor editAs="oneCell">
    <xdr:from>
      <xdr:col>13</xdr:col>
      <xdr:colOff>352425</xdr:colOff>
      <xdr:row>13</xdr:row>
      <xdr:rowOff>66675</xdr:rowOff>
    </xdr:from>
    <xdr:to>
      <xdr:col>17</xdr:col>
      <xdr:colOff>424938</xdr:colOff>
      <xdr:row>36</xdr:row>
      <xdr:rowOff>76630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F1989BF-7822-420A-A5CE-310195B2B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96675" y="2924175"/>
          <a:ext cx="3120513" cy="4391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ford.cl/comercial/nueva-transit-bus/" TargetMode="External"/><Relationship Id="rId1" Type="http://schemas.openxmlformats.org/officeDocument/2006/relationships/hyperlink" Target="https://www.kaufmann.cl/vans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9253-9039-40D7-B164-8B26DA10206D}">
  <dimension ref="A1:DJ211"/>
  <sheetViews>
    <sheetView tabSelected="1" zoomScale="102" zoomScaleNormal="148" workbookViewId="0">
      <selection activeCell="T1" sqref="T1:U1"/>
    </sheetView>
  </sheetViews>
  <sheetFormatPr baseColWidth="10" defaultColWidth="11.42578125" defaultRowHeight="15" outlineLevelCol="1" x14ac:dyDescent="0.25"/>
  <cols>
    <col min="1" max="1" width="5.85546875" style="1" customWidth="1"/>
    <col min="2" max="2" width="36" customWidth="1"/>
    <col min="3" max="3" width="16.42578125" customWidth="1" outlineLevel="1"/>
    <col min="4" max="4" width="12" customWidth="1" outlineLevel="1"/>
    <col min="5" max="5" width="4.42578125" customWidth="1" outlineLevel="1"/>
    <col min="6" max="6" width="9" customWidth="1" outlineLevel="1"/>
    <col min="7" max="7" width="5.5703125" customWidth="1" outlineLevel="1"/>
    <col min="8" max="8" width="6.85546875" customWidth="1" outlineLevel="1"/>
    <col min="9" max="9" width="5.42578125" customWidth="1" outlineLevel="1"/>
    <col min="10" max="10" width="3.85546875" customWidth="1" outlineLevel="1"/>
    <col min="11" max="11" width="8.85546875" customWidth="1" outlineLevel="1"/>
    <col min="12" max="12" width="6.7109375" customWidth="1" outlineLevel="1"/>
    <col min="13" max="13" width="6.42578125" customWidth="1" outlineLevel="1"/>
    <col min="14" max="14" width="6" customWidth="1" outlineLevel="1"/>
    <col min="15" max="15" width="7.7109375" style="21" customWidth="1" outlineLevel="1"/>
    <col min="16" max="16" width="11.7109375" customWidth="1" outlineLevel="1"/>
    <col min="17" max="17" width="19" customWidth="1" outlineLevel="1"/>
    <col min="18" max="18" width="5.5703125" style="1" customWidth="1" outlineLevel="1"/>
    <col min="19" max="19" width="13.140625" style="34" customWidth="1"/>
    <col min="20" max="20" width="17.85546875" customWidth="1"/>
    <col min="21" max="21" width="17.28515625" style="46" customWidth="1"/>
    <col min="22" max="22" width="14.5703125" customWidth="1"/>
    <col min="23" max="24" width="11.85546875" customWidth="1"/>
    <col min="25" max="25" width="13.140625" customWidth="1"/>
    <col min="26" max="26" width="13.28515625" customWidth="1"/>
    <col min="28" max="28" width="28" customWidth="1"/>
    <col min="29" max="29" width="16.140625" style="1" bestFit="1" customWidth="1"/>
    <col min="30" max="30" width="29" style="1" bestFit="1" customWidth="1"/>
    <col min="31" max="31" width="12.5703125" style="43" bestFit="1" customWidth="1"/>
    <col min="32" max="114" width="11.42578125" style="1"/>
    <col min="260" max="260" width="18.42578125" customWidth="1"/>
    <col min="261" max="261" width="26.42578125" customWidth="1"/>
    <col min="262" max="262" width="10.42578125" bestFit="1" customWidth="1"/>
    <col min="263" max="263" width="8.5703125" customWidth="1"/>
    <col min="264" max="264" width="6" customWidth="1"/>
    <col min="265" max="265" width="5.5703125" customWidth="1"/>
    <col min="266" max="267" width="5.42578125" customWidth="1"/>
    <col min="268" max="268" width="5.5703125" customWidth="1"/>
    <col min="269" max="269" width="6.42578125" customWidth="1"/>
    <col min="270" max="270" width="5.42578125" customWidth="1"/>
    <col min="271" max="271" width="8.42578125" customWidth="1"/>
    <col min="272" max="272" width="2.42578125" customWidth="1"/>
    <col min="273" max="273" width="8.42578125" customWidth="1"/>
    <col min="274" max="274" width="12.42578125" customWidth="1"/>
    <col min="275" max="275" width="1.5703125" customWidth="1"/>
    <col min="276" max="276" width="7.42578125" customWidth="1"/>
    <col min="277" max="277" width="8.42578125" customWidth="1"/>
    <col min="278" max="278" width="1.5703125" customWidth="1"/>
    <col min="279" max="279" width="15.42578125" customWidth="1"/>
    <col min="280" max="280" width="14.42578125" customWidth="1"/>
    <col min="281" max="281" width="14.5703125" customWidth="1"/>
    <col min="282" max="282" width="1.5703125" customWidth="1"/>
    <col min="516" max="516" width="18.42578125" customWidth="1"/>
    <col min="517" max="517" width="26.42578125" customWidth="1"/>
    <col min="518" max="518" width="10.42578125" bestFit="1" customWidth="1"/>
    <col min="519" max="519" width="8.5703125" customWidth="1"/>
    <col min="520" max="520" width="6" customWidth="1"/>
    <col min="521" max="521" width="5.5703125" customWidth="1"/>
    <col min="522" max="523" width="5.42578125" customWidth="1"/>
    <col min="524" max="524" width="5.5703125" customWidth="1"/>
    <col min="525" max="525" width="6.42578125" customWidth="1"/>
    <col min="526" max="526" width="5.42578125" customWidth="1"/>
    <col min="527" max="527" width="8.42578125" customWidth="1"/>
    <col min="528" max="528" width="2.42578125" customWidth="1"/>
    <col min="529" max="529" width="8.42578125" customWidth="1"/>
    <col min="530" max="530" width="12.42578125" customWidth="1"/>
    <col min="531" max="531" width="1.5703125" customWidth="1"/>
    <col min="532" max="532" width="7.42578125" customWidth="1"/>
    <col min="533" max="533" width="8.42578125" customWidth="1"/>
    <col min="534" max="534" width="1.5703125" customWidth="1"/>
    <col min="535" max="535" width="15.42578125" customWidth="1"/>
    <col min="536" max="536" width="14.42578125" customWidth="1"/>
    <col min="537" max="537" width="14.5703125" customWidth="1"/>
    <col min="538" max="538" width="1.5703125" customWidth="1"/>
    <col min="772" max="772" width="18.42578125" customWidth="1"/>
    <col min="773" max="773" width="26.42578125" customWidth="1"/>
    <col min="774" max="774" width="10.42578125" bestFit="1" customWidth="1"/>
    <col min="775" max="775" width="8.5703125" customWidth="1"/>
    <col min="776" max="776" width="6" customWidth="1"/>
    <col min="777" max="777" width="5.5703125" customWidth="1"/>
    <col min="778" max="779" width="5.42578125" customWidth="1"/>
    <col min="780" max="780" width="5.5703125" customWidth="1"/>
    <col min="781" max="781" width="6.42578125" customWidth="1"/>
    <col min="782" max="782" width="5.42578125" customWidth="1"/>
    <col min="783" max="783" width="8.42578125" customWidth="1"/>
    <col min="784" max="784" width="2.42578125" customWidth="1"/>
    <col min="785" max="785" width="8.42578125" customWidth="1"/>
    <col min="786" max="786" width="12.42578125" customWidth="1"/>
    <col min="787" max="787" width="1.5703125" customWidth="1"/>
    <col min="788" max="788" width="7.42578125" customWidth="1"/>
    <col min="789" max="789" width="8.42578125" customWidth="1"/>
    <col min="790" max="790" width="1.5703125" customWidth="1"/>
    <col min="791" max="791" width="15.42578125" customWidth="1"/>
    <col min="792" max="792" width="14.42578125" customWidth="1"/>
    <col min="793" max="793" width="14.5703125" customWidth="1"/>
    <col min="794" max="794" width="1.5703125" customWidth="1"/>
    <col min="1028" max="1028" width="18.42578125" customWidth="1"/>
    <col min="1029" max="1029" width="26.42578125" customWidth="1"/>
    <col min="1030" max="1030" width="10.42578125" bestFit="1" customWidth="1"/>
    <col min="1031" max="1031" width="8.5703125" customWidth="1"/>
    <col min="1032" max="1032" width="6" customWidth="1"/>
    <col min="1033" max="1033" width="5.5703125" customWidth="1"/>
    <col min="1034" max="1035" width="5.42578125" customWidth="1"/>
    <col min="1036" max="1036" width="5.5703125" customWidth="1"/>
    <col min="1037" max="1037" width="6.42578125" customWidth="1"/>
    <col min="1038" max="1038" width="5.42578125" customWidth="1"/>
    <col min="1039" max="1039" width="8.42578125" customWidth="1"/>
    <col min="1040" max="1040" width="2.42578125" customWidth="1"/>
    <col min="1041" max="1041" width="8.42578125" customWidth="1"/>
    <col min="1042" max="1042" width="12.42578125" customWidth="1"/>
    <col min="1043" max="1043" width="1.5703125" customWidth="1"/>
    <col min="1044" max="1044" width="7.42578125" customWidth="1"/>
    <col min="1045" max="1045" width="8.42578125" customWidth="1"/>
    <col min="1046" max="1046" width="1.5703125" customWidth="1"/>
    <col min="1047" max="1047" width="15.42578125" customWidth="1"/>
    <col min="1048" max="1048" width="14.42578125" customWidth="1"/>
    <col min="1049" max="1049" width="14.5703125" customWidth="1"/>
    <col min="1050" max="1050" width="1.5703125" customWidth="1"/>
    <col min="1284" max="1284" width="18.42578125" customWidth="1"/>
    <col min="1285" max="1285" width="26.42578125" customWidth="1"/>
    <col min="1286" max="1286" width="10.42578125" bestFit="1" customWidth="1"/>
    <col min="1287" max="1287" width="8.5703125" customWidth="1"/>
    <col min="1288" max="1288" width="6" customWidth="1"/>
    <col min="1289" max="1289" width="5.5703125" customWidth="1"/>
    <col min="1290" max="1291" width="5.42578125" customWidth="1"/>
    <col min="1292" max="1292" width="5.5703125" customWidth="1"/>
    <col min="1293" max="1293" width="6.42578125" customWidth="1"/>
    <col min="1294" max="1294" width="5.42578125" customWidth="1"/>
    <col min="1295" max="1295" width="8.42578125" customWidth="1"/>
    <col min="1296" max="1296" width="2.42578125" customWidth="1"/>
    <col min="1297" max="1297" width="8.42578125" customWidth="1"/>
    <col min="1298" max="1298" width="12.42578125" customWidth="1"/>
    <col min="1299" max="1299" width="1.5703125" customWidth="1"/>
    <col min="1300" max="1300" width="7.42578125" customWidth="1"/>
    <col min="1301" max="1301" width="8.42578125" customWidth="1"/>
    <col min="1302" max="1302" width="1.5703125" customWidth="1"/>
    <col min="1303" max="1303" width="15.42578125" customWidth="1"/>
    <col min="1304" max="1304" width="14.42578125" customWidth="1"/>
    <col min="1305" max="1305" width="14.5703125" customWidth="1"/>
    <col min="1306" max="1306" width="1.5703125" customWidth="1"/>
    <col min="1540" max="1540" width="18.42578125" customWidth="1"/>
    <col min="1541" max="1541" width="26.42578125" customWidth="1"/>
    <col min="1542" max="1542" width="10.42578125" bestFit="1" customWidth="1"/>
    <col min="1543" max="1543" width="8.5703125" customWidth="1"/>
    <col min="1544" max="1544" width="6" customWidth="1"/>
    <col min="1545" max="1545" width="5.5703125" customWidth="1"/>
    <col min="1546" max="1547" width="5.42578125" customWidth="1"/>
    <col min="1548" max="1548" width="5.5703125" customWidth="1"/>
    <col min="1549" max="1549" width="6.42578125" customWidth="1"/>
    <col min="1550" max="1550" width="5.42578125" customWidth="1"/>
    <col min="1551" max="1551" width="8.42578125" customWidth="1"/>
    <col min="1552" max="1552" width="2.42578125" customWidth="1"/>
    <col min="1553" max="1553" width="8.42578125" customWidth="1"/>
    <col min="1554" max="1554" width="12.42578125" customWidth="1"/>
    <col min="1555" max="1555" width="1.5703125" customWidth="1"/>
    <col min="1556" max="1556" width="7.42578125" customWidth="1"/>
    <col min="1557" max="1557" width="8.42578125" customWidth="1"/>
    <col min="1558" max="1558" width="1.5703125" customWidth="1"/>
    <col min="1559" max="1559" width="15.42578125" customWidth="1"/>
    <col min="1560" max="1560" width="14.42578125" customWidth="1"/>
    <col min="1561" max="1561" width="14.5703125" customWidth="1"/>
    <col min="1562" max="1562" width="1.5703125" customWidth="1"/>
    <col min="1796" max="1796" width="18.42578125" customWidth="1"/>
    <col min="1797" max="1797" width="26.42578125" customWidth="1"/>
    <col min="1798" max="1798" width="10.42578125" bestFit="1" customWidth="1"/>
    <col min="1799" max="1799" width="8.5703125" customWidth="1"/>
    <col min="1800" max="1800" width="6" customWidth="1"/>
    <col min="1801" max="1801" width="5.5703125" customWidth="1"/>
    <col min="1802" max="1803" width="5.42578125" customWidth="1"/>
    <col min="1804" max="1804" width="5.5703125" customWidth="1"/>
    <col min="1805" max="1805" width="6.42578125" customWidth="1"/>
    <col min="1806" max="1806" width="5.42578125" customWidth="1"/>
    <col min="1807" max="1807" width="8.42578125" customWidth="1"/>
    <col min="1808" max="1808" width="2.42578125" customWidth="1"/>
    <col min="1809" max="1809" width="8.42578125" customWidth="1"/>
    <col min="1810" max="1810" width="12.42578125" customWidth="1"/>
    <col min="1811" max="1811" width="1.5703125" customWidth="1"/>
    <col min="1812" max="1812" width="7.42578125" customWidth="1"/>
    <col min="1813" max="1813" width="8.42578125" customWidth="1"/>
    <col min="1814" max="1814" width="1.5703125" customWidth="1"/>
    <col min="1815" max="1815" width="15.42578125" customWidth="1"/>
    <col min="1816" max="1816" width="14.42578125" customWidth="1"/>
    <col min="1817" max="1817" width="14.5703125" customWidth="1"/>
    <col min="1818" max="1818" width="1.5703125" customWidth="1"/>
    <col min="2052" max="2052" width="18.42578125" customWidth="1"/>
    <col min="2053" max="2053" width="26.42578125" customWidth="1"/>
    <col min="2054" max="2054" width="10.42578125" bestFit="1" customWidth="1"/>
    <col min="2055" max="2055" width="8.5703125" customWidth="1"/>
    <col min="2056" max="2056" width="6" customWidth="1"/>
    <col min="2057" max="2057" width="5.5703125" customWidth="1"/>
    <col min="2058" max="2059" width="5.42578125" customWidth="1"/>
    <col min="2060" max="2060" width="5.5703125" customWidth="1"/>
    <col min="2061" max="2061" width="6.42578125" customWidth="1"/>
    <col min="2062" max="2062" width="5.42578125" customWidth="1"/>
    <col min="2063" max="2063" width="8.42578125" customWidth="1"/>
    <col min="2064" max="2064" width="2.42578125" customWidth="1"/>
    <col min="2065" max="2065" width="8.42578125" customWidth="1"/>
    <col min="2066" max="2066" width="12.42578125" customWidth="1"/>
    <col min="2067" max="2067" width="1.5703125" customWidth="1"/>
    <col min="2068" max="2068" width="7.42578125" customWidth="1"/>
    <col min="2069" max="2069" width="8.42578125" customWidth="1"/>
    <col min="2070" max="2070" width="1.5703125" customWidth="1"/>
    <col min="2071" max="2071" width="15.42578125" customWidth="1"/>
    <col min="2072" max="2072" width="14.42578125" customWidth="1"/>
    <col min="2073" max="2073" width="14.5703125" customWidth="1"/>
    <col min="2074" max="2074" width="1.5703125" customWidth="1"/>
    <col min="2308" max="2308" width="18.42578125" customWidth="1"/>
    <col min="2309" max="2309" width="26.42578125" customWidth="1"/>
    <col min="2310" max="2310" width="10.42578125" bestFit="1" customWidth="1"/>
    <col min="2311" max="2311" width="8.5703125" customWidth="1"/>
    <col min="2312" max="2312" width="6" customWidth="1"/>
    <col min="2313" max="2313" width="5.5703125" customWidth="1"/>
    <col min="2314" max="2315" width="5.42578125" customWidth="1"/>
    <col min="2316" max="2316" width="5.5703125" customWidth="1"/>
    <col min="2317" max="2317" width="6.42578125" customWidth="1"/>
    <col min="2318" max="2318" width="5.42578125" customWidth="1"/>
    <col min="2319" max="2319" width="8.42578125" customWidth="1"/>
    <col min="2320" max="2320" width="2.42578125" customWidth="1"/>
    <col min="2321" max="2321" width="8.42578125" customWidth="1"/>
    <col min="2322" max="2322" width="12.42578125" customWidth="1"/>
    <col min="2323" max="2323" width="1.5703125" customWidth="1"/>
    <col min="2324" max="2324" width="7.42578125" customWidth="1"/>
    <col min="2325" max="2325" width="8.42578125" customWidth="1"/>
    <col min="2326" max="2326" width="1.5703125" customWidth="1"/>
    <col min="2327" max="2327" width="15.42578125" customWidth="1"/>
    <col min="2328" max="2328" width="14.42578125" customWidth="1"/>
    <col min="2329" max="2329" width="14.5703125" customWidth="1"/>
    <col min="2330" max="2330" width="1.5703125" customWidth="1"/>
    <col min="2564" max="2564" width="18.42578125" customWidth="1"/>
    <col min="2565" max="2565" width="26.42578125" customWidth="1"/>
    <col min="2566" max="2566" width="10.42578125" bestFit="1" customWidth="1"/>
    <col min="2567" max="2567" width="8.5703125" customWidth="1"/>
    <col min="2568" max="2568" width="6" customWidth="1"/>
    <col min="2569" max="2569" width="5.5703125" customWidth="1"/>
    <col min="2570" max="2571" width="5.42578125" customWidth="1"/>
    <col min="2572" max="2572" width="5.5703125" customWidth="1"/>
    <col min="2573" max="2573" width="6.42578125" customWidth="1"/>
    <col min="2574" max="2574" width="5.42578125" customWidth="1"/>
    <col min="2575" max="2575" width="8.42578125" customWidth="1"/>
    <col min="2576" max="2576" width="2.42578125" customWidth="1"/>
    <col min="2577" max="2577" width="8.42578125" customWidth="1"/>
    <col min="2578" max="2578" width="12.42578125" customWidth="1"/>
    <col min="2579" max="2579" width="1.5703125" customWidth="1"/>
    <col min="2580" max="2580" width="7.42578125" customWidth="1"/>
    <col min="2581" max="2581" width="8.42578125" customWidth="1"/>
    <col min="2582" max="2582" width="1.5703125" customWidth="1"/>
    <col min="2583" max="2583" width="15.42578125" customWidth="1"/>
    <col min="2584" max="2584" width="14.42578125" customWidth="1"/>
    <col min="2585" max="2585" width="14.5703125" customWidth="1"/>
    <col min="2586" max="2586" width="1.5703125" customWidth="1"/>
    <col min="2820" max="2820" width="18.42578125" customWidth="1"/>
    <col min="2821" max="2821" width="26.42578125" customWidth="1"/>
    <col min="2822" max="2822" width="10.42578125" bestFit="1" customWidth="1"/>
    <col min="2823" max="2823" width="8.5703125" customWidth="1"/>
    <col min="2824" max="2824" width="6" customWidth="1"/>
    <col min="2825" max="2825" width="5.5703125" customWidth="1"/>
    <col min="2826" max="2827" width="5.42578125" customWidth="1"/>
    <col min="2828" max="2828" width="5.5703125" customWidth="1"/>
    <col min="2829" max="2829" width="6.42578125" customWidth="1"/>
    <col min="2830" max="2830" width="5.42578125" customWidth="1"/>
    <col min="2831" max="2831" width="8.42578125" customWidth="1"/>
    <col min="2832" max="2832" width="2.42578125" customWidth="1"/>
    <col min="2833" max="2833" width="8.42578125" customWidth="1"/>
    <col min="2834" max="2834" width="12.42578125" customWidth="1"/>
    <col min="2835" max="2835" width="1.5703125" customWidth="1"/>
    <col min="2836" max="2836" width="7.42578125" customWidth="1"/>
    <col min="2837" max="2837" width="8.42578125" customWidth="1"/>
    <col min="2838" max="2838" width="1.5703125" customWidth="1"/>
    <col min="2839" max="2839" width="15.42578125" customWidth="1"/>
    <col min="2840" max="2840" width="14.42578125" customWidth="1"/>
    <col min="2841" max="2841" width="14.5703125" customWidth="1"/>
    <col min="2842" max="2842" width="1.5703125" customWidth="1"/>
    <col min="3076" max="3076" width="18.42578125" customWidth="1"/>
    <col min="3077" max="3077" width="26.42578125" customWidth="1"/>
    <col min="3078" max="3078" width="10.42578125" bestFit="1" customWidth="1"/>
    <col min="3079" max="3079" width="8.5703125" customWidth="1"/>
    <col min="3080" max="3080" width="6" customWidth="1"/>
    <col min="3081" max="3081" width="5.5703125" customWidth="1"/>
    <col min="3082" max="3083" width="5.42578125" customWidth="1"/>
    <col min="3084" max="3084" width="5.5703125" customWidth="1"/>
    <col min="3085" max="3085" width="6.42578125" customWidth="1"/>
    <col min="3086" max="3086" width="5.42578125" customWidth="1"/>
    <col min="3087" max="3087" width="8.42578125" customWidth="1"/>
    <col min="3088" max="3088" width="2.42578125" customWidth="1"/>
    <col min="3089" max="3089" width="8.42578125" customWidth="1"/>
    <col min="3090" max="3090" width="12.42578125" customWidth="1"/>
    <col min="3091" max="3091" width="1.5703125" customWidth="1"/>
    <col min="3092" max="3092" width="7.42578125" customWidth="1"/>
    <col min="3093" max="3093" width="8.42578125" customWidth="1"/>
    <col min="3094" max="3094" width="1.5703125" customWidth="1"/>
    <col min="3095" max="3095" width="15.42578125" customWidth="1"/>
    <col min="3096" max="3096" width="14.42578125" customWidth="1"/>
    <col min="3097" max="3097" width="14.5703125" customWidth="1"/>
    <col min="3098" max="3098" width="1.5703125" customWidth="1"/>
    <col min="3332" max="3332" width="18.42578125" customWidth="1"/>
    <col min="3333" max="3333" width="26.42578125" customWidth="1"/>
    <col min="3334" max="3334" width="10.42578125" bestFit="1" customWidth="1"/>
    <col min="3335" max="3335" width="8.5703125" customWidth="1"/>
    <col min="3336" max="3336" width="6" customWidth="1"/>
    <col min="3337" max="3337" width="5.5703125" customWidth="1"/>
    <col min="3338" max="3339" width="5.42578125" customWidth="1"/>
    <col min="3340" max="3340" width="5.5703125" customWidth="1"/>
    <col min="3341" max="3341" width="6.42578125" customWidth="1"/>
    <col min="3342" max="3342" width="5.42578125" customWidth="1"/>
    <col min="3343" max="3343" width="8.42578125" customWidth="1"/>
    <col min="3344" max="3344" width="2.42578125" customWidth="1"/>
    <col min="3345" max="3345" width="8.42578125" customWidth="1"/>
    <col min="3346" max="3346" width="12.42578125" customWidth="1"/>
    <col min="3347" max="3347" width="1.5703125" customWidth="1"/>
    <col min="3348" max="3348" width="7.42578125" customWidth="1"/>
    <col min="3349" max="3349" width="8.42578125" customWidth="1"/>
    <col min="3350" max="3350" width="1.5703125" customWidth="1"/>
    <col min="3351" max="3351" width="15.42578125" customWidth="1"/>
    <col min="3352" max="3352" width="14.42578125" customWidth="1"/>
    <col min="3353" max="3353" width="14.5703125" customWidth="1"/>
    <col min="3354" max="3354" width="1.5703125" customWidth="1"/>
    <col min="3588" max="3588" width="18.42578125" customWidth="1"/>
    <col min="3589" max="3589" width="26.42578125" customWidth="1"/>
    <col min="3590" max="3590" width="10.42578125" bestFit="1" customWidth="1"/>
    <col min="3591" max="3591" width="8.5703125" customWidth="1"/>
    <col min="3592" max="3592" width="6" customWidth="1"/>
    <col min="3593" max="3593" width="5.5703125" customWidth="1"/>
    <col min="3594" max="3595" width="5.42578125" customWidth="1"/>
    <col min="3596" max="3596" width="5.5703125" customWidth="1"/>
    <col min="3597" max="3597" width="6.42578125" customWidth="1"/>
    <col min="3598" max="3598" width="5.42578125" customWidth="1"/>
    <col min="3599" max="3599" width="8.42578125" customWidth="1"/>
    <col min="3600" max="3600" width="2.42578125" customWidth="1"/>
    <col min="3601" max="3601" width="8.42578125" customWidth="1"/>
    <col min="3602" max="3602" width="12.42578125" customWidth="1"/>
    <col min="3603" max="3603" width="1.5703125" customWidth="1"/>
    <col min="3604" max="3604" width="7.42578125" customWidth="1"/>
    <col min="3605" max="3605" width="8.42578125" customWidth="1"/>
    <col min="3606" max="3606" width="1.5703125" customWidth="1"/>
    <col min="3607" max="3607" width="15.42578125" customWidth="1"/>
    <col min="3608" max="3608" width="14.42578125" customWidth="1"/>
    <col min="3609" max="3609" width="14.5703125" customWidth="1"/>
    <col min="3610" max="3610" width="1.5703125" customWidth="1"/>
    <col min="3844" max="3844" width="18.42578125" customWidth="1"/>
    <col min="3845" max="3845" width="26.42578125" customWidth="1"/>
    <col min="3846" max="3846" width="10.42578125" bestFit="1" customWidth="1"/>
    <col min="3847" max="3847" width="8.5703125" customWidth="1"/>
    <col min="3848" max="3848" width="6" customWidth="1"/>
    <col min="3849" max="3849" width="5.5703125" customWidth="1"/>
    <col min="3850" max="3851" width="5.42578125" customWidth="1"/>
    <col min="3852" max="3852" width="5.5703125" customWidth="1"/>
    <col min="3853" max="3853" width="6.42578125" customWidth="1"/>
    <col min="3854" max="3854" width="5.42578125" customWidth="1"/>
    <col min="3855" max="3855" width="8.42578125" customWidth="1"/>
    <col min="3856" max="3856" width="2.42578125" customWidth="1"/>
    <col min="3857" max="3857" width="8.42578125" customWidth="1"/>
    <col min="3858" max="3858" width="12.42578125" customWidth="1"/>
    <col min="3859" max="3859" width="1.5703125" customWidth="1"/>
    <col min="3860" max="3860" width="7.42578125" customWidth="1"/>
    <col min="3861" max="3861" width="8.42578125" customWidth="1"/>
    <col min="3862" max="3862" width="1.5703125" customWidth="1"/>
    <col min="3863" max="3863" width="15.42578125" customWidth="1"/>
    <col min="3864" max="3864" width="14.42578125" customWidth="1"/>
    <col min="3865" max="3865" width="14.5703125" customWidth="1"/>
    <col min="3866" max="3866" width="1.5703125" customWidth="1"/>
    <col min="4100" max="4100" width="18.42578125" customWidth="1"/>
    <col min="4101" max="4101" width="26.42578125" customWidth="1"/>
    <col min="4102" max="4102" width="10.42578125" bestFit="1" customWidth="1"/>
    <col min="4103" max="4103" width="8.5703125" customWidth="1"/>
    <col min="4104" max="4104" width="6" customWidth="1"/>
    <col min="4105" max="4105" width="5.5703125" customWidth="1"/>
    <col min="4106" max="4107" width="5.42578125" customWidth="1"/>
    <col min="4108" max="4108" width="5.5703125" customWidth="1"/>
    <col min="4109" max="4109" width="6.42578125" customWidth="1"/>
    <col min="4110" max="4110" width="5.42578125" customWidth="1"/>
    <col min="4111" max="4111" width="8.42578125" customWidth="1"/>
    <col min="4112" max="4112" width="2.42578125" customWidth="1"/>
    <col min="4113" max="4113" width="8.42578125" customWidth="1"/>
    <col min="4114" max="4114" width="12.42578125" customWidth="1"/>
    <col min="4115" max="4115" width="1.5703125" customWidth="1"/>
    <col min="4116" max="4116" width="7.42578125" customWidth="1"/>
    <col min="4117" max="4117" width="8.42578125" customWidth="1"/>
    <col min="4118" max="4118" width="1.5703125" customWidth="1"/>
    <col min="4119" max="4119" width="15.42578125" customWidth="1"/>
    <col min="4120" max="4120" width="14.42578125" customWidth="1"/>
    <col min="4121" max="4121" width="14.5703125" customWidth="1"/>
    <col min="4122" max="4122" width="1.5703125" customWidth="1"/>
    <col min="4356" max="4356" width="18.42578125" customWidth="1"/>
    <col min="4357" max="4357" width="26.42578125" customWidth="1"/>
    <col min="4358" max="4358" width="10.42578125" bestFit="1" customWidth="1"/>
    <col min="4359" max="4359" width="8.5703125" customWidth="1"/>
    <col min="4360" max="4360" width="6" customWidth="1"/>
    <col min="4361" max="4361" width="5.5703125" customWidth="1"/>
    <col min="4362" max="4363" width="5.42578125" customWidth="1"/>
    <col min="4364" max="4364" width="5.5703125" customWidth="1"/>
    <col min="4365" max="4365" width="6.42578125" customWidth="1"/>
    <col min="4366" max="4366" width="5.42578125" customWidth="1"/>
    <col min="4367" max="4367" width="8.42578125" customWidth="1"/>
    <col min="4368" max="4368" width="2.42578125" customWidth="1"/>
    <col min="4369" max="4369" width="8.42578125" customWidth="1"/>
    <col min="4370" max="4370" width="12.42578125" customWidth="1"/>
    <col min="4371" max="4371" width="1.5703125" customWidth="1"/>
    <col min="4372" max="4372" width="7.42578125" customWidth="1"/>
    <col min="4373" max="4373" width="8.42578125" customWidth="1"/>
    <col min="4374" max="4374" width="1.5703125" customWidth="1"/>
    <col min="4375" max="4375" width="15.42578125" customWidth="1"/>
    <col min="4376" max="4376" width="14.42578125" customWidth="1"/>
    <col min="4377" max="4377" width="14.5703125" customWidth="1"/>
    <col min="4378" max="4378" width="1.5703125" customWidth="1"/>
    <col min="4612" max="4612" width="18.42578125" customWidth="1"/>
    <col min="4613" max="4613" width="26.42578125" customWidth="1"/>
    <col min="4614" max="4614" width="10.42578125" bestFit="1" customWidth="1"/>
    <col min="4615" max="4615" width="8.5703125" customWidth="1"/>
    <col min="4616" max="4616" width="6" customWidth="1"/>
    <col min="4617" max="4617" width="5.5703125" customWidth="1"/>
    <col min="4618" max="4619" width="5.42578125" customWidth="1"/>
    <col min="4620" max="4620" width="5.5703125" customWidth="1"/>
    <col min="4621" max="4621" width="6.42578125" customWidth="1"/>
    <col min="4622" max="4622" width="5.42578125" customWidth="1"/>
    <col min="4623" max="4623" width="8.42578125" customWidth="1"/>
    <col min="4624" max="4624" width="2.42578125" customWidth="1"/>
    <col min="4625" max="4625" width="8.42578125" customWidth="1"/>
    <col min="4626" max="4626" width="12.42578125" customWidth="1"/>
    <col min="4627" max="4627" width="1.5703125" customWidth="1"/>
    <col min="4628" max="4628" width="7.42578125" customWidth="1"/>
    <col min="4629" max="4629" width="8.42578125" customWidth="1"/>
    <col min="4630" max="4630" width="1.5703125" customWidth="1"/>
    <col min="4631" max="4631" width="15.42578125" customWidth="1"/>
    <col min="4632" max="4632" width="14.42578125" customWidth="1"/>
    <col min="4633" max="4633" width="14.5703125" customWidth="1"/>
    <col min="4634" max="4634" width="1.5703125" customWidth="1"/>
    <col min="4868" max="4868" width="18.42578125" customWidth="1"/>
    <col min="4869" max="4869" width="26.42578125" customWidth="1"/>
    <col min="4870" max="4870" width="10.42578125" bestFit="1" customWidth="1"/>
    <col min="4871" max="4871" width="8.5703125" customWidth="1"/>
    <col min="4872" max="4872" width="6" customWidth="1"/>
    <col min="4873" max="4873" width="5.5703125" customWidth="1"/>
    <col min="4874" max="4875" width="5.42578125" customWidth="1"/>
    <col min="4876" max="4876" width="5.5703125" customWidth="1"/>
    <col min="4877" max="4877" width="6.42578125" customWidth="1"/>
    <col min="4878" max="4878" width="5.42578125" customWidth="1"/>
    <col min="4879" max="4879" width="8.42578125" customWidth="1"/>
    <col min="4880" max="4880" width="2.42578125" customWidth="1"/>
    <col min="4881" max="4881" width="8.42578125" customWidth="1"/>
    <col min="4882" max="4882" width="12.42578125" customWidth="1"/>
    <col min="4883" max="4883" width="1.5703125" customWidth="1"/>
    <col min="4884" max="4884" width="7.42578125" customWidth="1"/>
    <col min="4885" max="4885" width="8.42578125" customWidth="1"/>
    <col min="4886" max="4886" width="1.5703125" customWidth="1"/>
    <col min="4887" max="4887" width="15.42578125" customWidth="1"/>
    <col min="4888" max="4888" width="14.42578125" customWidth="1"/>
    <col min="4889" max="4889" width="14.5703125" customWidth="1"/>
    <col min="4890" max="4890" width="1.5703125" customWidth="1"/>
    <col min="5124" max="5124" width="18.42578125" customWidth="1"/>
    <col min="5125" max="5125" width="26.42578125" customWidth="1"/>
    <col min="5126" max="5126" width="10.42578125" bestFit="1" customWidth="1"/>
    <col min="5127" max="5127" width="8.5703125" customWidth="1"/>
    <col min="5128" max="5128" width="6" customWidth="1"/>
    <col min="5129" max="5129" width="5.5703125" customWidth="1"/>
    <col min="5130" max="5131" width="5.42578125" customWidth="1"/>
    <col min="5132" max="5132" width="5.5703125" customWidth="1"/>
    <col min="5133" max="5133" width="6.42578125" customWidth="1"/>
    <col min="5134" max="5134" width="5.42578125" customWidth="1"/>
    <col min="5135" max="5135" width="8.42578125" customWidth="1"/>
    <col min="5136" max="5136" width="2.42578125" customWidth="1"/>
    <col min="5137" max="5137" width="8.42578125" customWidth="1"/>
    <col min="5138" max="5138" width="12.42578125" customWidth="1"/>
    <col min="5139" max="5139" width="1.5703125" customWidth="1"/>
    <col min="5140" max="5140" width="7.42578125" customWidth="1"/>
    <col min="5141" max="5141" width="8.42578125" customWidth="1"/>
    <col min="5142" max="5142" width="1.5703125" customWidth="1"/>
    <col min="5143" max="5143" width="15.42578125" customWidth="1"/>
    <col min="5144" max="5144" width="14.42578125" customWidth="1"/>
    <col min="5145" max="5145" width="14.5703125" customWidth="1"/>
    <col min="5146" max="5146" width="1.5703125" customWidth="1"/>
    <col min="5380" max="5380" width="18.42578125" customWidth="1"/>
    <col min="5381" max="5381" width="26.42578125" customWidth="1"/>
    <col min="5382" max="5382" width="10.42578125" bestFit="1" customWidth="1"/>
    <col min="5383" max="5383" width="8.5703125" customWidth="1"/>
    <col min="5384" max="5384" width="6" customWidth="1"/>
    <col min="5385" max="5385" width="5.5703125" customWidth="1"/>
    <col min="5386" max="5387" width="5.42578125" customWidth="1"/>
    <col min="5388" max="5388" width="5.5703125" customWidth="1"/>
    <col min="5389" max="5389" width="6.42578125" customWidth="1"/>
    <col min="5390" max="5390" width="5.42578125" customWidth="1"/>
    <col min="5391" max="5391" width="8.42578125" customWidth="1"/>
    <col min="5392" max="5392" width="2.42578125" customWidth="1"/>
    <col min="5393" max="5393" width="8.42578125" customWidth="1"/>
    <col min="5394" max="5394" width="12.42578125" customWidth="1"/>
    <col min="5395" max="5395" width="1.5703125" customWidth="1"/>
    <col min="5396" max="5396" width="7.42578125" customWidth="1"/>
    <col min="5397" max="5397" width="8.42578125" customWidth="1"/>
    <col min="5398" max="5398" width="1.5703125" customWidth="1"/>
    <col min="5399" max="5399" width="15.42578125" customWidth="1"/>
    <col min="5400" max="5400" width="14.42578125" customWidth="1"/>
    <col min="5401" max="5401" width="14.5703125" customWidth="1"/>
    <col min="5402" max="5402" width="1.5703125" customWidth="1"/>
    <col min="5636" max="5636" width="18.42578125" customWidth="1"/>
    <col min="5637" max="5637" width="26.42578125" customWidth="1"/>
    <col min="5638" max="5638" width="10.42578125" bestFit="1" customWidth="1"/>
    <col min="5639" max="5639" width="8.5703125" customWidth="1"/>
    <col min="5640" max="5640" width="6" customWidth="1"/>
    <col min="5641" max="5641" width="5.5703125" customWidth="1"/>
    <col min="5642" max="5643" width="5.42578125" customWidth="1"/>
    <col min="5644" max="5644" width="5.5703125" customWidth="1"/>
    <col min="5645" max="5645" width="6.42578125" customWidth="1"/>
    <col min="5646" max="5646" width="5.42578125" customWidth="1"/>
    <col min="5647" max="5647" width="8.42578125" customWidth="1"/>
    <col min="5648" max="5648" width="2.42578125" customWidth="1"/>
    <col min="5649" max="5649" width="8.42578125" customWidth="1"/>
    <col min="5650" max="5650" width="12.42578125" customWidth="1"/>
    <col min="5651" max="5651" width="1.5703125" customWidth="1"/>
    <col min="5652" max="5652" width="7.42578125" customWidth="1"/>
    <col min="5653" max="5653" width="8.42578125" customWidth="1"/>
    <col min="5654" max="5654" width="1.5703125" customWidth="1"/>
    <col min="5655" max="5655" width="15.42578125" customWidth="1"/>
    <col min="5656" max="5656" width="14.42578125" customWidth="1"/>
    <col min="5657" max="5657" width="14.5703125" customWidth="1"/>
    <col min="5658" max="5658" width="1.5703125" customWidth="1"/>
    <col min="5892" max="5892" width="18.42578125" customWidth="1"/>
    <col min="5893" max="5893" width="26.42578125" customWidth="1"/>
    <col min="5894" max="5894" width="10.42578125" bestFit="1" customWidth="1"/>
    <col min="5895" max="5895" width="8.5703125" customWidth="1"/>
    <col min="5896" max="5896" width="6" customWidth="1"/>
    <col min="5897" max="5897" width="5.5703125" customWidth="1"/>
    <col min="5898" max="5899" width="5.42578125" customWidth="1"/>
    <col min="5900" max="5900" width="5.5703125" customWidth="1"/>
    <col min="5901" max="5901" width="6.42578125" customWidth="1"/>
    <col min="5902" max="5902" width="5.42578125" customWidth="1"/>
    <col min="5903" max="5903" width="8.42578125" customWidth="1"/>
    <col min="5904" max="5904" width="2.42578125" customWidth="1"/>
    <col min="5905" max="5905" width="8.42578125" customWidth="1"/>
    <col min="5906" max="5906" width="12.42578125" customWidth="1"/>
    <col min="5907" max="5907" width="1.5703125" customWidth="1"/>
    <col min="5908" max="5908" width="7.42578125" customWidth="1"/>
    <col min="5909" max="5909" width="8.42578125" customWidth="1"/>
    <col min="5910" max="5910" width="1.5703125" customWidth="1"/>
    <col min="5911" max="5911" width="15.42578125" customWidth="1"/>
    <col min="5912" max="5912" width="14.42578125" customWidth="1"/>
    <col min="5913" max="5913" width="14.5703125" customWidth="1"/>
    <col min="5914" max="5914" width="1.5703125" customWidth="1"/>
    <col min="6148" max="6148" width="18.42578125" customWidth="1"/>
    <col min="6149" max="6149" width="26.42578125" customWidth="1"/>
    <col min="6150" max="6150" width="10.42578125" bestFit="1" customWidth="1"/>
    <col min="6151" max="6151" width="8.5703125" customWidth="1"/>
    <col min="6152" max="6152" width="6" customWidth="1"/>
    <col min="6153" max="6153" width="5.5703125" customWidth="1"/>
    <col min="6154" max="6155" width="5.42578125" customWidth="1"/>
    <col min="6156" max="6156" width="5.5703125" customWidth="1"/>
    <col min="6157" max="6157" width="6.42578125" customWidth="1"/>
    <col min="6158" max="6158" width="5.42578125" customWidth="1"/>
    <col min="6159" max="6159" width="8.42578125" customWidth="1"/>
    <col min="6160" max="6160" width="2.42578125" customWidth="1"/>
    <col min="6161" max="6161" width="8.42578125" customWidth="1"/>
    <col min="6162" max="6162" width="12.42578125" customWidth="1"/>
    <col min="6163" max="6163" width="1.5703125" customWidth="1"/>
    <col min="6164" max="6164" width="7.42578125" customWidth="1"/>
    <col min="6165" max="6165" width="8.42578125" customWidth="1"/>
    <col min="6166" max="6166" width="1.5703125" customWidth="1"/>
    <col min="6167" max="6167" width="15.42578125" customWidth="1"/>
    <col min="6168" max="6168" width="14.42578125" customWidth="1"/>
    <col min="6169" max="6169" width="14.5703125" customWidth="1"/>
    <col min="6170" max="6170" width="1.5703125" customWidth="1"/>
    <col min="6404" max="6404" width="18.42578125" customWidth="1"/>
    <col min="6405" max="6405" width="26.42578125" customWidth="1"/>
    <col min="6406" max="6406" width="10.42578125" bestFit="1" customWidth="1"/>
    <col min="6407" max="6407" width="8.5703125" customWidth="1"/>
    <col min="6408" max="6408" width="6" customWidth="1"/>
    <col min="6409" max="6409" width="5.5703125" customWidth="1"/>
    <col min="6410" max="6411" width="5.42578125" customWidth="1"/>
    <col min="6412" max="6412" width="5.5703125" customWidth="1"/>
    <col min="6413" max="6413" width="6.42578125" customWidth="1"/>
    <col min="6414" max="6414" width="5.42578125" customWidth="1"/>
    <col min="6415" max="6415" width="8.42578125" customWidth="1"/>
    <col min="6416" max="6416" width="2.42578125" customWidth="1"/>
    <col min="6417" max="6417" width="8.42578125" customWidth="1"/>
    <col min="6418" max="6418" width="12.42578125" customWidth="1"/>
    <col min="6419" max="6419" width="1.5703125" customWidth="1"/>
    <col min="6420" max="6420" width="7.42578125" customWidth="1"/>
    <col min="6421" max="6421" width="8.42578125" customWidth="1"/>
    <col min="6422" max="6422" width="1.5703125" customWidth="1"/>
    <col min="6423" max="6423" width="15.42578125" customWidth="1"/>
    <col min="6424" max="6424" width="14.42578125" customWidth="1"/>
    <col min="6425" max="6425" width="14.5703125" customWidth="1"/>
    <col min="6426" max="6426" width="1.5703125" customWidth="1"/>
    <col min="6660" max="6660" width="18.42578125" customWidth="1"/>
    <col min="6661" max="6661" width="26.42578125" customWidth="1"/>
    <col min="6662" max="6662" width="10.42578125" bestFit="1" customWidth="1"/>
    <col min="6663" max="6663" width="8.5703125" customWidth="1"/>
    <col min="6664" max="6664" width="6" customWidth="1"/>
    <col min="6665" max="6665" width="5.5703125" customWidth="1"/>
    <col min="6666" max="6667" width="5.42578125" customWidth="1"/>
    <col min="6668" max="6668" width="5.5703125" customWidth="1"/>
    <col min="6669" max="6669" width="6.42578125" customWidth="1"/>
    <col min="6670" max="6670" width="5.42578125" customWidth="1"/>
    <col min="6671" max="6671" width="8.42578125" customWidth="1"/>
    <col min="6672" max="6672" width="2.42578125" customWidth="1"/>
    <col min="6673" max="6673" width="8.42578125" customWidth="1"/>
    <col min="6674" max="6674" width="12.42578125" customWidth="1"/>
    <col min="6675" max="6675" width="1.5703125" customWidth="1"/>
    <col min="6676" max="6676" width="7.42578125" customWidth="1"/>
    <col min="6677" max="6677" width="8.42578125" customWidth="1"/>
    <col min="6678" max="6678" width="1.5703125" customWidth="1"/>
    <col min="6679" max="6679" width="15.42578125" customWidth="1"/>
    <col min="6680" max="6680" width="14.42578125" customWidth="1"/>
    <col min="6681" max="6681" width="14.5703125" customWidth="1"/>
    <col min="6682" max="6682" width="1.5703125" customWidth="1"/>
    <col min="6916" max="6916" width="18.42578125" customWidth="1"/>
    <col min="6917" max="6917" width="26.42578125" customWidth="1"/>
    <col min="6918" max="6918" width="10.42578125" bestFit="1" customWidth="1"/>
    <col min="6919" max="6919" width="8.5703125" customWidth="1"/>
    <col min="6920" max="6920" width="6" customWidth="1"/>
    <col min="6921" max="6921" width="5.5703125" customWidth="1"/>
    <col min="6922" max="6923" width="5.42578125" customWidth="1"/>
    <col min="6924" max="6924" width="5.5703125" customWidth="1"/>
    <col min="6925" max="6925" width="6.42578125" customWidth="1"/>
    <col min="6926" max="6926" width="5.42578125" customWidth="1"/>
    <col min="6927" max="6927" width="8.42578125" customWidth="1"/>
    <col min="6928" max="6928" width="2.42578125" customWidth="1"/>
    <col min="6929" max="6929" width="8.42578125" customWidth="1"/>
    <col min="6930" max="6930" width="12.42578125" customWidth="1"/>
    <col min="6931" max="6931" width="1.5703125" customWidth="1"/>
    <col min="6932" max="6932" width="7.42578125" customWidth="1"/>
    <col min="6933" max="6933" width="8.42578125" customWidth="1"/>
    <col min="6934" max="6934" width="1.5703125" customWidth="1"/>
    <col min="6935" max="6935" width="15.42578125" customWidth="1"/>
    <col min="6936" max="6936" width="14.42578125" customWidth="1"/>
    <col min="6937" max="6937" width="14.5703125" customWidth="1"/>
    <col min="6938" max="6938" width="1.5703125" customWidth="1"/>
    <col min="7172" max="7172" width="18.42578125" customWidth="1"/>
    <col min="7173" max="7173" width="26.42578125" customWidth="1"/>
    <col min="7174" max="7174" width="10.42578125" bestFit="1" customWidth="1"/>
    <col min="7175" max="7175" width="8.5703125" customWidth="1"/>
    <col min="7176" max="7176" width="6" customWidth="1"/>
    <col min="7177" max="7177" width="5.5703125" customWidth="1"/>
    <col min="7178" max="7179" width="5.42578125" customWidth="1"/>
    <col min="7180" max="7180" width="5.5703125" customWidth="1"/>
    <col min="7181" max="7181" width="6.42578125" customWidth="1"/>
    <col min="7182" max="7182" width="5.42578125" customWidth="1"/>
    <col min="7183" max="7183" width="8.42578125" customWidth="1"/>
    <col min="7184" max="7184" width="2.42578125" customWidth="1"/>
    <col min="7185" max="7185" width="8.42578125" customWidth="1"/>
    <col min="7186" max="7186" width="12.42578125" customWidth="1"/>
    <col min="7187" max="7187" width="1.5703125" customWidth="1"/>
    <col min="7188" max="7188" width="7.42578125" customWidth="1"/>
    <col min="7189" max="7189" width="8.42578125" customWidth="1"/>
    <col min="7190" max="7190" width="1.5703125" customWidth="1"/>
    <col min="7191" max="7191" width="15.42578125" customWidth="1"/>
    <col min="7192" max="7192" width="14.42578125" customWidth="1"/>
    <col min="7193" max="7193" width="14.5703125" customWidth="1"/>
    <col min="7194" max="7194" width="1.5703125" customWidth="1"/>
    <col min="7428" max="7428" width="18.42578125" customWidth="1"/>
    <col min="7429" max="7429" width="26.42578125" customWidth="1"/>
    <col min="7430" max="7430" width="10.42578125" bestFit="1" customWidth="1"/>
    <col min="7431" max="7431" width="8.5703125" customWidth="1"/>
    <col min="7432" max="7432" width="6" customWidth="1"/>
    <col min="7433" max="7433" width="5.5703125" customWidth="1"/>
    <col min="7434" max="7435" width="5.42578125" customWidth="1"/>
    <col min="7436" max="7436" width="5.5703125" customWidth="1"/>
    <col min="7437" max="7437" width="6.42578125" customWidth="1"/>
    <col min="7438" max="7438" width="5.42578125" customWidth="1"/>
    <col min="7439" max="7439" width="8.42578125" customWidth="1"/>
    <col min="7440" max="7440" width="2.42578125" customWidth="1"/>
    <col min="7441" max="7441" width="8.42578125" customWidth="1"/>
    <col min="7442" max="7442" width="12.42578125" customWidth="1"/>
    <col min="7443" max="7443" width="1.5703125" customWidth="1"/>
    <col min="7444" max="7444" width="7.42578125" customWidth="1"/>
    <col min="7445" max="7445" width="8.42578125" customWidth="1"/>
    <col min="7446" max="7446" width="1.5703125" customWidth="1"/>
    <col min="7447" max="7447" width="15.42578125" customWidth="1"/>
    <col min="7448" max="7448" width="14.42578125" customWidth="1"/>
    <col min="7449" max="7449" width="14.5703125" customWidth="1"/>
    <col min="7450" max="7450" width="1.5703125" customWidth="1"/>
    <col min="7684" max="7684" width="18.42578125" customWidth="1"/>
    <col min="7685" max="7685" width="26.42578125" customWidth="1"/>
    <col min="7686" max="7686" width="10.42578125" bestFit="1" customWidth="1"/>
    <col min="7687" max="7687" width="8.5703125" customWidth="1"/>
    <col min="7688" max="7688" width="6" customWidth="1"/>
    <col min="7689" max="7689" width="5.5703125" customWidth="1"/>
    <col min="7690" max="7691" width="5.42578125" customWidth="1"/>
    <col min="7692" max="7692" width="5.5703125" customWidth="1"/>
    <col min="7693" max="7693" width="6.42578125" customWidth="1"/>
    <col min="7694" max="7694" width="5.42578125" customWidth="1"/>
    <col min="7695" max="7695" width="8.42578125" customWidth="1"/>
    <col min="7696" max="7696" width="2.42578125" customWidth="1"/>
    <col min="7697" max="7697" width="8.42578125" customWidth="1"/>
    <col min="7698" max="7698" width="12.42578125" customWidth="1"/>
    <col min="7699" max="7699" width="1.5703125" customWidth="1"/>
    <col min="7700" max="7700" width="7.42578125" customWidth="1"/>
    <col min="7701" max="7701" width="8.42578125" customWidth="1"/>
    <col min="7702" max="7702" width="1.5703125" customWidth="1"/>
    <col min="7703" max="7703" width="15.42578125" customWidth="1"/>
    <col min="7704" max="7704" width="14.42578125" customWidth="1"/>
    <col min="7705" max="7705" width="14.5703125" customWidth="1"/>
    <col min="7706" max="7706" width="1.5703125" customWidth="1"/>
    <col min="7940" max="7940" width="18.42578125" customWidth="1"/>
    <col min="7941" max="7941" width="26.42578125" customWidth="1"/>
    <col min="7942" max="7942" width="10.42578125" bestFit="1" customWidth="1"/>
    <col min="7943" max="7943" width="8.5703125" customWidth="1"/>
    <col min="7944" max="7944" width="6" customWidth="1"/>
    <col min="7945" max="7945" width="5.5703125" customWidth="1"/>
    <col min="7946" max="7947" width="5.42578125" customWidth="1"/>
    <col min="7948" max="7948" width="5.5703125" customWidth="1"/>
    <col min="7949" max="7949" width="6.42578125" customWidth="1"/>
    <col min="7950" max="7950" width="5.42578125" customWidth="1"/>
    <col min="7951" max="7951" width="8.42578125" customWidth="1"/>
    <col min="7952" max="7952" width="2.42578125" customWidth="1"/>
    <col min="7953" max="7953" width="8.42578125" customWidth="1"/>
    <col min="7954" max="7954" width="12.42578125" customWidth="1"/>
    <col min="7955" max="7955" width="1.5703125" customWidth="1"/>
    <col min="7956" max="7956" width="7.42578125" customWidth="1"/>
    <col min="7957" max="7957" width="8.42578125" customWidth="1"/>
    <col min="7958" max="7958" width="1.5703125" customWidth="1"/>
    <col min="7959" max="7959" width="15.42578125" customWidth="1"/>
    <col min="7960" max="7960" width="14.42578125" customWidth="1"/>
    <col min="7961" max="7961" width="14.5703125" customWidth="1"/>
    <col min="7962" max="7962" width="1.5703125" customWidth="1"/>
    <col min="8196" max="8196" width="18.42578125" customWidth="1"/>
    <col min="8197" max="8197" width="26.42578125" customWidth="1"/>
    <col min="8198" max="8198" width="10.42578125" bestFit="1" customWidth="1"/>
    <col min="8199" max="8199" width="8.5703125" customWidth="1"/>
    <col min="8200" max="8200" width="6" customWidth="1"/>
    <col min="8201" max="8201" width="5.5703125" customWidth="1"/>
    <col min="8202" max="8203" width="5.42578125" customWidth="1"/>
    <col min="8204" max="8204" width="5.5703125" customWidth="1"/>
    <col min="8205" max="8205" width="6.42578125" customWidth="1"/>
    <col min="8206" max="8206" width="5.42578125" customWidth="1"/>
    <col min="8207" max="8207" width="8.42578125" customWidth="1"/>
    <col min="8208" max="8208" width="2.42578125" customWidth="1"/>
    <col min="8209" max="8209" width="8.42578125" customWidth="1"/>
    <col min="8210" max="8210" width="12.42578125" customWidth="1"/>
    <col min="8211" max="8211" width="1.5703125" customWidth="1"/>
    <col min="8212" max="8212" width="7.42578125" customWidth="1"/>
    <col min="8213" max="8213" width="8.42578125" customWidth="1"/>
    <col min="8214" max="8214" width="1.5703125" customWidth="1"/>
    <col min="8215" max="8215" width="15.42578125" customWidth="1"/>
    <col min="8216" max="8216" width="14.42578125" customWidth="1"/>
    <col min="8217" max="8217" width="14.5703125" customWidth="1"/>
    <col min="8218" max="8218" width="1.5703125" customWidth="1"/>
    <col min="8452" max="8452" width="18.42578125" customWidth="1"/>
    <col min="8453" max="8453" width="26.42578125" customWidth="1"/>
    <col min="8454" max="8454" width="10.42578125" bestFit="1" customWidth="1"/>
    <col min="8455" max="8455" width="8.5703125" customWidth="1"/>
    <col min="8456" max="8456" width="6" customWidth="1"/>
    <col min="8457" max="8457" width="5.5703125" customWidth="1"/>
    <col min="8458" max="8459" width="5.42578125" customWidth="1"/>
    <col min="8460" max="8460" width="5.5703125" customWidth="1"/>
    <col min="8461" max="8461" width="6.42578125" customWidth="1"/>
    <col min="8462" max="8462" width="5.42578125" customWidth="1"/>
    <col min="8463" max="8463" width="8.42578125" customWidth="1"/>
    <col min="8464" max="8464" width="2.42578125" customWidth="1"/>
    <col min="8465" max="8465" width="8.42578125" customWidth="1"/>
    <col min="8466" max="8466" width="12.42578125" customWidth="1"/>
    <col min="8467" max="8467" width="1.5703125" customWidth="1"/>
    <col min="8468" max="8468" width="7.42578125" customWidth="1"/>
    <col min="8469" max="8469" width="8.42578125" customWidth="1"/>
    <col min="8470" max="8470" width="1.5703125" customWidth="1"/>
    <col min="8471" max="8471" width="15.42578125" customWidth="1"/>
    <col min="8472" max="8472" width="14.42578125" customWidth="1"/>
    <col min="8473" max="8473" width="14.5703125" customWidth="1"/>
    <col min="8474" max="8474" width="1.5703125" customWidth="1"/>
    <col min="8708" max="8708" width="18.42578125" customWidth="1"/>
    <col min="8709" max="8709" width="26.42578125" customWidth="1"/>
    <col min="8710" max="8710" width="10.42578125" bestFit="1" customWidth="1"/>
    <col min="8711" max="8711" width="8.5703125" customWidth="1"/>
    <col min="8712" max="8712" width="6" customWidth="1"/>
    <col min="8713" max="8713" width="5.5703125" customWidth="1"/>
    <col min="8714" max="8715" width="5.42578125" customWidth="1"/>
    <col min="8716" max="8716" width="5.5703125" customWidth="1"/>
    <col min="8717" max="8717" width="6.42578125" customWidth="1"/>
    <col min="8718" max="8718" width="5.42578125" customWidth="1"/>
    <col min="8719" max="8719" width="8.42578125" customWidth="1"/>
    <col min="8720" max="8720" width="2.42578125" customWidth="1"/>
    <col min="8721" max="8721" width="8.42578125" customWidth="1"/>
    <col min="8722" max="8722" width="12.42578125" customWidth="1"/>
    <col min="8723" max="8723" width="1.5703125" customWidth="1"/>
    <col min="8724" max="8724" width="7.42578125" customWidth="1"/>
    <col min="8725" max="8725" width="8.42578125" customWidth="1"/>
    <col min="8726" max="8726" width="1.5703125" customWidth="1"/>
    <col min="8727" max="8727" width="15.42578125" customWidth="1"/>
    <col min="8728" max="8728" width="14.42578125" customWidth="1"/>
    <col min="8729" max="8729" width="14.5703125" customWidth="1"/>
    <col min="8730" max="8730" width="1.5703125" customWidth="1"/>
    <col min="8964" max="8964" width="18.42578125" customWidth="1"/>
    <col min="8965" max="8965" width="26.42578125" customWidth="1"/>
    <col min="8966" max="8966" width="10.42578125" bestFit="1" customWidth="1"/>
    <col min="8967" max="8967" width="8.5703125" customWidth="1"/>
    <col min="8968" max="8968" width="6" customWidth="1"/>
    <col min="8969" max="8969" width="5.5703125" customWidth="1"/>
    <col min="8970" max="8971" width="5.42578125" customWidth="1"/>
    <col min="8972" max="8972" width="5.5703125" customWidth="1"/>
    <col min="8973" max="8973" width="6.42578125" customWidth="1"/>
    <col min="8974" max="8974" width="5.42578125" customWidth="1"/>
    <col min="8975" max="8975" width="8.42578125" customWidth="1"/>
    <col min="8976" max="8976" width="2.42578125" customWidth="1"/>
    <col min="8977" max="8977" width="8.42578125" customWidth="1"/>
    <col min="8978" max="8978" width="12.42578125" customWidth="1"/>
    <col min="8979" max="8979" width="1.5703125" customWidth="1"/>
    <col min="8980" max="8980" width="7.42578125" customWidth="1"/>
    <col min="8981" max="8981" width="8.42578125" customWidth="1"/>
    <col min="8982" max="8982" width="1.5703125" customWidth="1"/>
    <col min="8983" max="8983" width="15.42578125" customWidth="1"/>
    <col min="8984" max="8984" width="14.42578125" customWidth="1"/>
    <col min="8985" max="8985" width="14.5703125" customWidth="1"/>
    <col min="8986" max="8986" width="1.5703125" customWidth="1"/>
    <col min="9220" max="9220" width="18.42578125" customWidth="1"/>
    <col min="9221" max="9221" width="26.42578125" customWidth="1"/>
    <col min="9222" max="9222" width="10.42578125" bestFit="1" customWidth="1"/>
    <col min="9223" max="9223" width="8.5703125" customWidth="1"/>
    <col min="9224" max="9224" width="6" customWidth="1"/>
    <col min="9225" max="9225" width="5.5703125" customWidth="1"/>
    <col min="9226" max="9227" width="5.42578125" customWidth="1"/>
    <col min="9228" max="9228" width="5.5703125" customWidth="1"/>
    <col min="9229" max="9229" width="6.42578125" customWidth="1"/>
    <col min="9230" max="9230" width="5.42578125" customWidth="1"/>
    <col min="9231" max="9231" width="8.42578125" customWidth="1"/>
    <col min="9232" max="9232" width="2.42578125" customWidth="1"/>
    <col min="9233" max="9233" width="8.42578125" customWidth="1"/>
    <col min="9234" max="9234" width="12.42578125" customWidth="1"/>
    <col min="9235" max="9235" width="1.5703125" customWidth="1"/>
    <col min="9236" max="9236" width="7.42578125" customWidth="1"/>
    <col min="9237" max="9237" width="8.42578125" customWidth="1"/>
    <col min="9238" max="9238" width="1.5703125" customWidth="1"/>
    <col min="9239" max="9239" width="15.42578125" customWidth="1"/>
    <col min="9240" max="9240" width="14.42578125" customWidth="1"/>
    <col min="9241" max="9241" width="14.5703125" customWidth="1"/>
    <col min="9242" max="9242" width="1.5703125" customWidth="1"/>
    <col min="9476" max="9476" width="18.42578125" customWidth="1"/>
    <col min="9477" max="9477" width="26.42578125" customWidth="1"/>
    <col min="9478" max="9478" width="10.42578125" bestFit="1" customWidth="1"/>
    <col min="9479" max="9479" width="8.5703125" customWidth="1"/>
    <col min="9480" max="9480" width="6" customWidth="1"/>
    <col min="9481" max="9481" width="5.5703125" customWidth="1"/>
    <col min="9482" max="9483" width="5.42578125" customWidth="1"/>
    <col min="9484" max="9484" width="5.5703125" customWidth="1"/>
    <col min="9485" max="9485" width="6.42578125" customWidth="1"/>
    <col min="9486" max="9486" width="5.42578125" customWidth="1"/>
    <col min="9487" max="9487" width="8.42578125" customWidth="1"/>
    <col min="9488" max="9488" width="2.42578125" customWidth="1"/>
    <col min="9489" max="9489" width="8.42578125" customWidth="1"/>
    <col min="9490" max="9490" width="12.42578125" customWidth="1"/>
    <col min="9491" max="9491" width="1.5703125" customWidth="1"/>
    <col min="9492" max="9492" width="7.42578125" customWidth="1"/>
    <col min="9493" max="9493" width="8.42578125" customWidth="1"/>
    <col min="9494" max="9494" width="1.5703125" customWidth="1"/>
    <col min="9495" max="9495" width="15.42578125" customWidth="1"/>
    <col min="9496" max="9496" width="14.42578125" customWidth="1"/>
    <col min="9497" max="9497" width="14.5703125" customWidth="1"/>
    <col min="9498" max="9498" width="1.5703125" customWidth="1"/>
    <col min="9732" max="9732" width="18.42578125" customWidth="1"/>
    <col min="9733" max="9733" width="26.42578125" customWidth="1"/>
    <col min="9734" max="9734" width="10.42578125" bestFit="1" customWidth="1"/>
    <col min="9735" max="9735" width="8.5703125" customWidth="1"/>
    <col min="9736" max="9736" width="6" customWidth="1"/>
    <col min="9737" max="9737" width="5.5703125" customWidth="1"/>
    <col min="9738" max="9739" width="5.42578125" customWidth="1"/>
    <col min="9740" max="9740" width="5.5703125" customWidth="1"/>
    <col min="9741" max="9741" width="6.42578125" customWidth="1"/>
    <col min="9742" max="9742" width="5.42578125" customWidth="1"/>
    <col min="9743" max="9743" width="8.42578125" customWidth="1"/>
    <col min="9744" max="9744" width="2.42578125" customWidth="1"/>
    <col min="9745" max="9745" width="8.42578125" customWidth="1"/>
    <col min="9746" max="9746" width="12.42578125" customWidth="1"/>
    <col min="9747" max="9747" width="1.5703125" customWidth="1"/>
    <col min="9748" max="9748" width="7.42578125" customWidth="1"/>
    <col min="9749" max="9749" width="8.42578125" customWidth="1"/>
    <col min="9750" max="9750" width="1.5703125" customWidth="1"/>
    <col min="9751" max="9751" width="15.42578125" customWidth="1"/>
    <col min="9752" max="9752" width="14.42578125" customWidth="1"/>
    <col min="9753" max="9753" width="14.5703125" customWidth="1"/>
    <col min="9754" max="9754" width="1.5703125" customWidth="1"/>
    <col min="9988" max="9988" width="18.42578125" customWidth="1"/>
    <col min="9989" max="9989" width="26.42578125" customWidth="1"/>
    <col min="9990" max="9990" width="10.42578125" bestFit="1" customWidth="1"/>
    <col min="9991" max="9991" width="8.5703125" customWidth="1"/>
    <col min="9992" max="9992" width="6" customWidth="1"/>
    <col min="9993" max="9993" width="5.5703125" customWidth="1"/>
    <col min="9994" max="9995" width="5.42578125" customWidth="1"/>
    <col min="9996" max="9996" width="5.5703125" customWidth="1"/>
    <col min="9997" max="9997" width="6.42578125" customWidth="1"/>
    <col min="9998" max="9998" width="5.42578125" customWidth="1"/>
    <col min="9999" max="9999" width="8.42578125" customWidth="1"/>
    <col min="10000" max="10000" width="2.42578125" customWidth="1"/>
    <col min="10001" max="10001" width="8.42578125" customWidth="1"/>
    <col min="10002" max="10002" width="12.42578125" customWidth="1"/>
    <col min="10003" max="10003" width="1.5703125" customWidth="1"/>
    <col min="10004" max="10004" width="7.42578125" customWidth="1"/>
    <col min="10005" max="10005" width="8.42578125" customWidth="1"/>
    <col min="10006" max="10006" width="1.5703125" customWidth="1"/>
    <col min="10007" max="10007" width="15.42578125" customWidth="1"/>
    <col min="10008" max="10008" width="14.42578125" customWidth="1"/>
    <col min="10009" max="10009" width="14.5703125" customWidth="1"/>
    <col min="10010" max="10010" width="1.5703125" customWidth="1"/>
    <col min="10244" max="10244" width="18.42578125" customWidth="1"/>
    <col min="10245" max="10245" width="26.42578125" customWidth="1"/>
    <col min="10246" max="10246" width="10.42578125" bestFit="1" customWidth="1"/>
    <col min="10247" max="10247" width="8.5703125" customWidth="1"/>
    <col min="10248" max="10248" width="6" customWidth="1"/>
    <col min="10249" max="10249" width="5.5703125" customWidth="1"/>
    <col min="10250" max="10251" width="5.42578125" customWidth="1"/>
    <col min="10252" max="10252" width="5.5703125" customWidth="1"/>
    <col min="10253" max="10253" width="6.42578125" customWidth="1"/>
    <col min="10254" max="10254" width="5.42578125" customWidth="1"/>
    <col min="10255" max="10255" width="8.42578125" customWidth="1"/>
    <col min="10256" max="10256" width="2.42578125" customWidth="1"/>
    <col min="10257" max="10257" width="8.42578125" customWidth="1"/>
    <col min="10258" max="10258" width="12.42578125" customWidth="1"/>
    <col min="10259" max="10259" width="1.5703125" customWidth="1"/>
    <col min="10260" max="10260" width="7.42578125" customWidth="1"/>
    <col min="10261" max="10261" width="8.42578125" customWidth="1"/>
    <col min="10262" max="10262" width="1.5703125" customWidth="1"/>
    <col min="10263" max="10263" width="15.42578125" customWidth="1"/>
    <col min="10264" max="10264" width="14.42578125" customWidth="1"/>
    <col min="10265" max="10265" width="14.5703125" customWidth="1"/>
    <col min="10266" max="10266" width="1.5703125" customWidth="1"/>
    <col min="10500" max="10500" width="18.42578125" customWidth="1"/>
    <col min="10501" max="10501" width="26.42578125" customWidth="1"/>
    <col min="10502" max="10502" width="10.42578125" bestFit="1" customWidth="1"/>
    <col min="10503" max="10503" width="8.5703125" customWidth="1"/>
    <col min="10504" max="10504" width="6" customWidth="1"/>
    <col min="10505" max="10505" width="5.5703125" customWidth="1"/>
    <col min="10506" max="10507" width="5.42578125" customWidth="1"/>
    <col min="10508" max="10508" width="5.5703125" customWidth="1"/>
    <col min="10509" max="10509" width="6.42578125" customWidth="1"/>
    <col min="10510" max="10510" width="5.42578125" customWidth="1"/>
    <col min="10511" max="10511" width="8.42578125" customWidth="1"/>
    <col min="10512" max="10512" width="2.42578125" customWidth="1"/>
    <col min="10513" max="10513" width="8.42578125" customWidth="1"/>
    <col min="10514" max="10514" width="12.42578125" customWidth="1"/>
    <col min="10515" max="10515" width="1.5703125" customWidth="1"/>
    <col min="10516" max="10516" width="7.42578125" customWidth="1"/>
    <col min="10517" max="10517" width="8.42578125" customWidth="1"/>
    <col min="10518" max="10518" width="1.5703125" customWidth="1"/>
    <col min="10519" max="10519" width="15.42578125" customWidth="1"/>
    <col min="10520" max="10520" width="14.42578125" customWidth="1"/>
    <col min="10521" max="10521" width="14.5703125" customWidth="1"/>
    <col min="10522" max="10522" width="1.5703125" customWidth="1"/>
    <col min="10756" max="10756" width="18.42578125" customWidth="1"/>
    <col min="10757" max="10757" width="26.42578125" customWidth="1"/>
    <col min="10758" max="10758" width="10.42578125" bestFit="1" customWidth="1"/>
    <col min="10759" max="10759" width="8.5703125" customWidth="1"/>
    <col min="10760" max="10760" width="6" customWidth="1"/>
    <col min="10761" max="10761" width="5.5703125" customWidth="1"/>
    <col min="10762" max="10763" width="5.42578125" customWidth="1"/>
    <col min="10764" max="10764" width="5.5703125" customWidth="1"/>
    <col min="10765" max="10765" width="6.42578125" customWidth="1"/>
    <col min="10766" max="10766" width="5.42578125" customWidth="1"/>
    <col min="10767" max="10767" width="8.42578125" customWidth="1"/>
    <col min="10768" max="10768" width="2.42578125" customWidth="1"/>
    <col min="10769" max="10769" width="8.42578125" customWidth="1"/>
    <col min="10770" max="10770" width="12.42578125" customWidth="1"/>
    <col min="10771" max="10771" width="1.5703125" customWidth="1"/>
    <col min="10772" max="10772" width="7.42578125" customWidth="1"/>
    <col min="10773" max="10773" width="8.42578125" customWidth="1"/>
    <col min="10774" max="10774" width="1.5703125" customWidth="1"/>
    <col min="10775" max="10775" width="15.42578125" customWidth="1"/>
    <col min="10776" max="10776" width="14.42578125" customWidth="1"/>
    <col min="10777" max="10777" width="14.5703125" customWidth="1"/>
    <col min="10778" max="10778" width="1.5703125" customWidth="1"/>
    <col min="11012" max="11012" width="18.42578125" customWidth="1"/>
    <col min="11013" max="11013" width="26.42578125" customWidth="1"/>
    <col min="11014" max="11014" width="10.42578125" bestFit="1" customWidth="1"/>
    <col min="11015" max="11015" width="8.5703125" customWidth="1"/>
    <col min="11016" max="11016" width="6" customWidth="1"/>
    <col min="11017" max="11017" width="5.5703125" customWidth="1"/>
    <col min="11018" max="11019" width="5.42578125" customWidth="1"/>
    <col min="11020" max="11020" width="5.5703125" customWidth="1"/>
    <col min="11021" max="11021" width="6.42578125" customWidth="1"/>
    <col min="11022" max="11022" width="5.42578125" customWidth="1"/>
    <col min="11023" max="11023" width="8.42578125" customWidth="1"/>
    <col min="11024" max="11024" width="2.42578125" customWidth="1"/>
    <col min="11025" max="11025" width="8.42578125" customWidth="1"/>
    <col min="11026" max="11026" width="12.42578125" customWidth="1"/>
    <col min="11027" max="11027" width="1.5703125" customWidth="1"/>
    <col min="11028" max="11028" width="7.42578125" customWidth="1"/>
    <col min="11029" max="11029" width="8.42578125" customWidth="1"/>
    <col min="11030" max="11030" width="1.5703125" customWidth="1"/>
    <col min="11031" max="11031" width="15.42578125" customWidth="1"/>
    <col min="11032" max="11032" width="14.42578125" customWidth="1"/>
    <col min="11033" max="11033" width="14.5703125" customWidth="1"/>
    <col min="11034" max="11034" width="1.5703125" customWidth="1"/>
    <col min="11268" max="11268" width="18.42578125" customWidth="1"/>
    <col min="11269" max="11269" width="26.42578125" customWidth="1"/>
    <col min="11270" max="11270" width="10.42578125" bestFit="1" customWidth="1"/>
    <col min="11271" max="11271" width="8.5703125" customWidth="1"/>
    <col min="11272" max="11272" width="6" customWidth="1"/>
    <col min="11273" max="11273" width="5.5703125" customWidth="1"/>
    <col min="11274" max="11275" width="5.42578125" customWidth="1"/>
    <col min="11276" max="11276" width="5.5703125" customWidth="1"/>
    <col min="11277" max="11277" width="6.42578125" customWidth="1"/>
    <col min="11278" max="11278" width="5.42578125" customWidth="1"/>
    <col min="11279" max="11279" width="8.42578125" customWidth="1"/>
    <col min="11280" max="11280" width="2.42578125" customWidth="1"/>
    <col min="11281" max="11281" width="8.42578125" customWidth="1"/>
    <col min="11282" max="11282" width="12.42578125" customWidth="1"/>
    <col min="11283" max="11283" width="1.5703125" customWidth="1"/>
    <col min="11284" max="11284" width="7.42578125" customWidth="1"/>
    <col min="11285" max="11285" width="8.42578125" customWidth="1"/>
    <col min="11286" max="11286" width="1.5703125" customWidth="1"/>
    <col min="11287" max="11287" width="15.42578125" customWidth="1"/>
    <col min="11288" max="11288" width="14.42578125" customWidth="1"/>
    <col min="11289" max="11289" width="14.5703125" customWidth="1"/>
    <col min="11290" max="11290" width="1.5703125" customWidth="1"/>
    <col min="11524" max="11524" width="18.42578125" customWidth="1"/>
    <col min="11525" max="11525" width="26.42578125" customWidth="1"/>
    <col min="11526" max="11526" width="10.42578125" bestFit="1" customWidth="1"/>
    <col min="11527" max="11527" width="8.5703125" customWidth="1"/>
    <col min="11528" max="11528" width="6" customWidth="1"/>
    <col min="11529" max="11529" width="5.5703125" customWidth="1"/>
    <col min="11530" max="11531" width="5.42578125" customWidth="1"/>
    <col min="11532" max="11532" width="5.5703125" customWidth="1"/>
    <col min="11533" max="11533" width="6.42578125" customWidth="1"/>
    <col min="11534" max="11534" width="5.42578125" customWidth="1"/>
    <col min="11535" max="11535" width="8.42578125" customWidth="1"/>
    <col min="11536" max="11536" width="2.42578125" customWidth="1"/>
    <col min="11537" max="11537" width="8.42578125" customWidth="1"/>
    <col min="11538" max="11538" width="12.42578125" customWidth="1"/>
    <col min="11539" max="11539" width="1.5703125" customWidth="1"/>
    <col min="11540" max="11540" width="7.42578125" customWidth="1"/>
    <col min="11541" max="11541" width="8.42578125" customWidth="1"/>
    <col min="11542" max="11542" width="1.5703125" customWidth="1"/>
    <col min="11543" max="11543" width="15.42578125" customWidth="1"/>
    <col min="11544" max="11544" width="14.42578125" customWidth="1"/>
    <col min="11545" max="11545" width="14.5703125" customWidth="1"/>
    <col min="11546" max="11546" width="1.5703125" customWidth="1"/>
    <col min="11780" max="11780" width="18.42578125" customWidth="1"/>
    <col min="11781" max="11781" width="26.42578125" customWidth="1"/>
    <col min="11782" max="11782" width="10.42578125" bestFit="1" customWidth="1"/>
    <col min="11783" max="11783" width="8.5703125" customWidth="1"/>
    <col min="11784" max="11784" width="6" customWidth="1"/>
    <col min="11785" max="11785" width="5.5703125" customWidth="1"/>
    <col min="11786" max="11787" width="5.42578125" customWidth="1"/>
    <col min="11788" max="11788" width="5.5703125" customWidth="1"/>
    <col min="11789" max="11789" width="6.42578125" customWidth="1"/>
    <col min="11790" max="11790" width="5.42578125" customWidth="1"/>
    <col min="11791" max="11791" width="8.42578125" customWidth="1"/>
    <col min="11792" max="11792" width="2.42578125" customWidth="1"/>
    <col min="11793" max="11793" width="8.42578125" customWidth="1"/>
    <col min="11794" max="11794" width="12.42578125" customWidth="1"/>
    <col min="11795" max="11795" width="1.5703125" customWidth="1"/>
    <col min="11796" max="11796" width="7.42578125" customWidth="1"/>
    <col min="11797" max="11797" width="8.42578125" customWidth="1"/>
    <col min="11798" max="11798" width="1.5703125" customWidth="1"/>
    <col min="11799" max="11799" width="15.42578125" customWidth="1"/>
    <col min="11800" max="11800" width="14.42578125" customWidth="1"/>
    <col min="11801" max="11801" width="14.5703125" customWidth="1"/>
    <col min="11802" max="11802" width="1.5703125" customWidth="1"/>
    <col min="12036" max="12036" width="18.42578125" customWidth="1"/>
    <col min="12037" max="12037" width="26.42578125" customWidth="1"/>
    <col min="12038" max="12038" width="10.42578125" bestFit="1" customWidth="1"/>
    <col min="12039" max="12039" width="8.5703125" customWidth="1"/>
    <col min="12040" max="12040" width="6" customWidth="1"/>
    <col min="12041" max="12041" width="5.5703125" customWidth="1"/>
    <col min="12042" max="12043" width="5.42578125" customWidth="1"/>
    <col min="12044" max="12044" width="5.5703125" customWidth="1"/>
    <col min="12045" max="12045" width="6.42578125" customWidth="1"/>
    <col min="12046" max="12046" width="5.42578125" customWidth="1"/>
    <col min="12047" max="12047" width="8.42578125" customWidth="1"/>
    <col min="12048" max="12048" width="2.42578125" customWidth="1"/>
    <col min="12049" max="12049" width="8.42578125" customWidth="1"/>
    <col min="12050" max="12050" width="12.42578125" customWidth="1"/>
    <col min="12051" max="12051" width="1.5703125" customWidth="1"/>
    <col min="12052" max="12052" width="7.42578125" customWidth="1"/>
    <col min="12053" max="12053" width="8.42578125" customWidth="1"/>
    <col min="12054" max="12054" width="1.5703125" customWidth="1"/>
    <col min="12055" max="12055" width="15.42578125" customWidth="1"/>
    <col min="12056" max="12056" width="14.42578125" customWidth="1"/>
    <col min="12057" max="12057" width="14.5703125" customWidth="1"/>
    <col min="12058" max="12058" width="1.5703125" customWidth="1"/>
    <col min="12292" max="12292" width="18.42578125" customWidth="1"/>
    <col min="12293" max="12293" width="26.42578125" customWidth="1"/>
    <col min="12294" max="12294" width="10.42578125" bestFit="1" customWidth="1"/>
    <col min="12295" max="12295" width="8.5703125" customWidth="1"/>
    <col min="12296" max="12296" width="6" customWidth="1"/>
    <col min="12297" max="12297" width="5.5703125" customWidth="1"/>
    <col min="12298" max="12299" width="5.42578125" customWidth="1"/>
    <col min="12300" max="12300" width="5.5703125" customWidth="1"/>
    <col min="12301" max="12301" width="6.42578125" customWidth="1"/>
    <col min="12302" max="12302" width="5.42578125" customWidth="1"/>
    <col min="12303" max="12303" width="8.42578125" customWidth="1"/>
    <col min="12304" max="12304" width="2.42578125" customWidth="1"/>
    <col min="12305" max="12305" width="8.42578125" customWidth="1"/>
    <col min="12306" max="12306" width="12.42578125" customWidth="1"/>
    <col min="12307" max="12307" width="1.5703125" customWidth="1"/>
    <col min="12308" max="12308" width="7.42578125" customWidth="1"/>
    <col min="12309" max="12309" width="8.42578125" customWidth="1"/>
    <col min="12310" max="12310" width="1.5703125" customWidth="1"/>
    <col min="12311" max="12311" width="15.42578125" customWidth="1"/>
    <col min="12312" max="12312" width="14.42578125" customWidth="1"/>
    <col min="12313" max="12313" width="14.5703125" customWidth="1"/>
    <col min="12314" max="12314" width="1.5703125" customWidth="1"/>
    <col min="12548" max="12548" width="18.42578125" customWidth="1"/>
    <col min="12549" max="12549" width="26.42578125" customWidth="1"/>
    <col min="12550" max="12550" width="10.42578125" bestFit="1" customWidth="1"/>
    <col min="12551" max="12551" width="8.5703125" customWidth="1"/>
    <col min="12552" max="12552" width="6" customWidth="1"/>
    <col min="12553" max="12553" width="5.5703125" customWidth="1"/>
    <col min="12554" max="12555" width="5.42578125" customWidth="1"/>
    <col min="12556" max="12556" width="5.5703125" customWidth="1"/>
    <col min="12557" max="12557" width="6.42578125" customWidth="1"/>
    <col min="12558" max="12558" width="5.42578125" customWidth="1"/>
    <col min="12559" max="12559" width="8.42578125" customWidth="1"/>
    <col min="12560" max="12560" width="2.42578125" customWidth="1"/>
    <col min="12561" max="12561" width="8.42578125" customWidth="1"/>
    <col min="12562" max="12562" width="12.42578125" customWidth="1"/>
    <col min="12563" max="12563" width="1.5703125" customWidth="1"/>
    <col min="12564" max="12564" width="7.42578125" customWidth="1"/>
    <col min="12565" max="12565" width="8.42578125" customWidth="1"/>
    <col min="12566" max="12566" width="1.5703125" customWidth="1"/>
    <col min="12567" max="12567" width="15.42578125" customWidth="1"/>
    <col min="12568" max="12568" width="14.42578125" customWidth="1"/>
    <col min="12569" max="12569" width="14.5703125" customWidth="1"/>
    <col min="12570" max="12570" width="1.5703125" customWidth="1"/>
    <col min="12804" max="12804" width="18.42578125" customWidth="1"/>
    <col min="12805" max="12805" width="26.42578125" customWidth="1"/>
    <col min="12806" max="12806" width="10.42578125" bestFit="1" customWidth="1"/>
    <col min="12807" max="12807" width="8.5703125" customWidth="1"/>
    <col min="12808" max="12808" width="6" customWidth="1"/>
    <col min="12809" max="12809" width="5.5703125" customWidth="1"/>
    <col min="12810" max="12811" width="5.42578125" customWidth="1"/>
    <col min="12812" max="12812" width="5.5703125" customWidth="1"/>
    <col min="12813" max="12813" width="6.42578125" customWidth="1"/>
    <col min="12814" max="12814" width="5.42578125" customWidth="1"/>
    <col min="12815" max="12815" width="8.42578125" customWidth="1"/>
    <col min="12816" max="12816" width="2.42578125" customWidth="1"/>
    <col min="12817" max="12817" width="8.42578125" customWidth="1"/>
    <col min="12818" max="12818" width="12.42578125" customWidth="1"/>
    <col min="12819" max="12819" width="1.5703125" customWidth="1"/>
    <col min="12820" max="12820" width="7.42578125" customWidth="1"/>
    <col min="12821" max="12821" width="8.42578125" customWidth="1"/>
    <col min="12822" max="12822" width="1.5703125" customWidth="1"/>
    <col min="12823" max="12823" width="15.42578125" customWidth="1"/>
    <col min="12824" max="12824" width="14.42578125" customWidth="1"/>
    <col min="12825" max="12825" width="14.5703125" customWidth="1"/>
    <col min="12826" max="12826" width="1.5703125" customWidth="1"/>
    <col min="13060" max="13060" width="18.42578125" customWidth="1"/>
    <col min="13061" max="13061" width="26.42578125" customWidth="1"/>
    <col min="13062" max="13062" width="10.42578125" bestFit="1" customWidth="1"/>
    <col min="13063" max="13063" width="8.5703125" customWidth="1"/>
    <col min="13064" max="13064" width="6" customWidth="1"/>
    <col min="13065" max="13065" width="5.5703125" customWidth="1"/>
    <col min="13066" max="13067" width="5.42578125" customWidth="1"/>
    <col min="13068" max="13068" width="5.5703125" customWidth="1"/>
    <col min="13069" max="13069" width="6.42578125" customWidth="1"/>
    <col min="13070" max="13070" width="5.42578125" customWidth="1"/>
    <col min="13071" max="13071" width="8.42578125" customWidth="1"/>
    <col min="13072" max="13072" width="2.42578125" customWidth="1"/>
    <col min="13073" max="13073" width="8.42578125" customWidth="1"/>
    <col min="13074" max="13074" width="12.42578125" customWidth="1"/>
    <col min="13075" max="13075" width="1.5703125" customWidth="1"/>
    <col min="13076" max="13076" width="7.42578125" customWidth="1"/>
    <col min="13077" max="13077" width="8.42578125" customWidth="1"/>
    <col min="13078" max="13078" width="1.5703125" customWidth="1"/>
    <col min="13079" max="13079" width="15.42578125" customWidth="1"/>
    <col min="13080" max="13080" width="14.42578125" customWidth="1"/>
    <col min="13081" max="13081" width="14.5703125" customWidth="1"/>
    <col min="13082" max="13082" width="1.5703125" customWidth="1"/>
    <col min="13316" max="13316" width="18.42578125" customWidth="1"/>
    <col min="13317" max="13317" width="26.42578125" customWidth="1"/>
    <col min="13318" max="13318" width="10.42578125" bestFit="1" customWidth="1"/>
    <col min="13319" max="13319" width="8.5703125" customWidth="1"/>
    <col min="13320" max="13320" width="6" customWidth="1"/>
    <col min="13321" max="13321" width="5.5703125" customWidth="1"/>
    <col min="13322" max="13323" width="5.42578125" customWidth="1"/>
    <col min="13324" max="13324" width="5.5703125" customWidth="1"/>
    <col min="13325" max="13325" width="6.42578125" customWidth="1"/>
    <col min="13326" max="13326" width="5.42578125" customWidth="1"/>
    <col min="13327" max="13327" width="8.42578125" customWidth="1"/>
    <col min="13328" max="13328" width="2.42578125" customWidth="1"/>
    <col min="13329" max="13329" width="8.42578125" customWidth="1"/>
    <col min="13330" max="13330" width="12.42578125" customWidth="1"/>
    <col min="13331" max="13331" width="1.5703125" customWidth="1"/>
    <col min="13332" max="13332" width="7.42578125" customWidth="1"/>
    <col min="13333" max="13333" width="8.42578125" customWidth="1"/>
    <col min="13334" max="13334" width="1.5703125" customWidth="1"/>
    <col min="13335" max="13335" width="15.42578125" customWidth="1"/>
    <col min="13336" max="13336" width="14.42578125" customWidth="1"/>
    <col min="13337" max="13337" width="14.5703125" customWidth="1"/>
    <col min="13338" max="13338" width="1.5703125" customWidth="1"/>
    <col min="13572" max="13572" width="18.42578125" customWidth="1"/>
    <col min="13573" max="13573" width="26.42578125" customWidth="1"/>
    <col min="13574" max="13574" width="10.42578125" bestFit="1" customWidth="1"/>
    <col min="13575" max="13575" width="8.5703125" customWidth="1"/>
    <col min="13576" max="13576" width="6" customWidth="1"/>
    <col min="13577" max="13577" width="5.5703125" customWidth="1"/>
    <col min="13578" max="13579" width="5.42578125" customWidth="1"/>
    <col min="13580" max="13580" width="5.5703125" customWidth="1"/>
    <col min="13581" max="13581" width="6.42578125" customWidth="1"/>
    <col min="13582" max="13582" width="5.42578125" customWidth="1"/>
    <col min="13583" max="13583" width="8.42578125" customWidth="1"/>
    <col min="13584" max="13584" width="2.42578125" customWidth="1"/>
    <col min="13585" max="13585" width="8.42578125" customWidth="1"/>
    <col min="13586" max="13586" width="12.42578125" customWidth="1"/>
    <col min="13587" max="13587" width="1.5703125" customWidth="1"/>
    <col min="13588" max="13588" width="7.42578125" customWidth="1"/>
    <col min="13589" max="13589" width="8.42578125" customWidth="1"/>
    <col min="13590" max="13590" width="1.5703125" customWidth="1"/>
    <col min="13591" max="13591" width="15.42578125" customWidth="1"/>
    <col min="13592" max="13592" width="14.42578125" customWidth="1"/>
    <col min="13593" max="13593" width="14.5703125" customWidth="1"/>
    <col min="13594" max="13594" width="1.5703125" customWidth="1"/>
    <col min="13828" max="13828" width="18.42578125" customWidth="1"/>
    <col min="13829" max="13829" width="26.42578125" customWidth="1"/>
    <col min="13830" max="13830" width="10.42578125" bestFit="1" customWidth="1"/>
    <col min="13831" max="13831" width="8.5703125" customWidth="1"/>
    <col min="13832" max="13832" width="6" customWidth="1"/>
    <col min="13833" max="13833" width="5.5703125" customWidth="1"/>
    <col min="13834" max="13835" width="5.42578125" customWidth="1"/>
    <col min="13836" max="13836" width="5.5703125" customWidth="1"/>
    <col min="13837" max="13837" width="6.42578125" customWidth="1"/>
    <col min="13838" max="13838" width="5.42578125" customWidth="1"/>
    <col min="13839" max="13839" width="8.42578125" customWidth="1"/>
    <col min="13840" max="13840" width="2.42578125" customWidth="1"/>
    <col min="13841" max="13841" width="8.42578125" customWidth="1"/>
    <col min="13842" max="13842" width="12.42578125" customWidth="1"/>
    <col min="13843" max="13843" width="1.5703125" customWidth="1"/>
    <col min="13844" max="13844" width="7.42578125" customWidth="1"/>
    <col min="13845" max="13845" width="8.42578125" customWidth="1"/>
    <col min="13846" max="13846" width="1.5703125" customWidth="1"/>
    <col min="13847" max="13847" width="15.42578125" customWidth="1"/>
    <col min="13848" max="13848" width="14.42578125" customWidth="1"/>
    <col min="13849" max="13849" width="14.5703125" customWidth="1"/>
    <col min="13850" max="13850" width="1.5703125" customWidth="1"/>
    <col min="14084" max="14084" width="18.42578125" customWidth="1"/>
    <col min="14085" max="14085" width="26.42578125" customWidth="1"/>
    <col min="14086" max="14086" width="10.42578125" bestFit="1" customWidth="1"/>
    <col min="14087" max="14087" width="8.5703125" customWidth="1"/>
    <col min="14088" max="14088" width="6" customWidth="1"/>
    <col min="14089" max="14089" width="5.5703125" customWidth="1"/>
    <col min="14090" max="14091" width="5.42578125" customWidth="1"/>
    <col min="14092" max="14092" width="5.5703125" customWidth="1"/>
    <col min="14093" max="14093" width="6.42578125" customWidth="1"/>
    <col min="14094" max="14094" width="5.42578125" customWidth="1"/>
    <col min="14095" max="14095" width="8.42578125" customWidth="1"/>
    <col min="14096" max="14096" width="2.42578125" customWidth="1"/>
    <col min="14097" max="14097" width="8.42578125" customWidth="1"/>
    <col min="14098" max="14098" width="12.42578125" customWidth="1"/>
    <col min="14099" max="14099" width="1.5703125" customWidth="1"/>
    <col min="14100" max="14100" width="7.42578125" customWidth="1"/>
    <col min="14101" max="14101" width="8.42578125" customWidth="1"/>
    <col min="14102" max="14102" width="1.5703125" customWidth="1"/>
    <col min="14103" max="14103" width="15.42578125" customWidth="1"/>
    <col min="14104" max="14104" width="14.42578125" customWidth="1"/>
    <col min="14105" max="14105" width="14.5703125" customWidth="1"/>
    <col min="14106" max="14106" width="1.5703125" customWidth="1"/>
    <col min="14340" max="14340" width="18.42578125" customWidth="1"/>
    <col min="14341" max="14341" width="26.42578125" customWidth="1"/>
    <col min="14342" max="14342" width="10.42578125" bestFit="1" customWidth="1"/>
    <col min="14343" max="14343" width="8.5703125" customWidth="1"/>
    <col min="14344" max="14344" width="6" customWidth="1"/>
    <col min="14345" max="14345" width="5.5703125" customWidth="1"/>
    <col min="14346" max="14347" width="5.42578125" customWidth="1"/>
    <col min="14348" max="14348" width="5.5703125" customWidth="1"/>
    <col min="14349" max="14349" width="6.42578125" customWidth="1"/>
    <col min="14350" max="14350" width="5.42578125" customWidth="1"/>
    <col min="14351" max="14351" width="8.42578125" customWidth="1"/>
    <col min="14352" max="14352" width="2.42578125" customWidth="1"/>
    <col min="14353" max="14353" width="8.42578125" customWidth="1"/>
    <col min="14354" max="14354" width="12.42578125" customWidth="1"/>
    <col min="14355" max="14355" width="1.5703125" customWidth="1"/>
    <col min="14356" max="14356" width="7.42578125" customWidth="1"/>
    <col min="14357" max="14357" width="8.42578125" customWidth="1"/>
    <col min="14358" max="14358" width="1.5703125" customWidth="1"/>
    <col min="14359" max="14359" width="15.42578125" customWidth="1"/>
    <col min="14360" max="14360" width="14.42578125" customWidth="1"/>
    <col min="14361" max="14361" width="14.5703125" customWidth="1"/>
    <col min="14362" max="14362" width="1.5703125" customWidth="1"/>
    <col min="14596" max="14596" width="18.42578125" customWidth="1"/>
    <col min="14597" max="14597" width="26.42578125" customWidth="1"/>
    <col min="14598" max="14598" width="10.42578125" bestFit="1" customWidth="1"/>
    <col min="14599" max="14599" width="8.5703125" customWidth="1"/>
    <col min="14600" max="14600" width="6" customWidth="1"/>
    <col min="14601" max="14601" width="5.5703125" customWidth="1"/>
    <col min="14602" max="14603" width="5.42578125" customWidth="1"/>
    <col min="14604" max="14604" width="5.5703125" customWidth="1"/>
    <col min="14605" max="14605" width="6.42578125" customWidth="1"/>
    <col min="14606" max="14606" width="5.42578125" customWidth="1"/>
    <col min="14607" max="14607" width="8.42578125" customWidth="1"/>
    <col min="14608" max="14608" width="2.42578125" customWidth="1"/>
    <col min="14609" max="14609" width="8.42578125" customWidth="1"/>
    <col min="14610" max="14610" width="12.42578125" customWidth="1"/>
    <col min="14611" max="14611" width="1.5703125" customWidth="1"/>
    <col min="14612" max="14612" width="7.42578125" customWidth="1"/>
    <col min="14613" max="14613" width="8.42578125" customWidth="1"/>
    <col min="14614" max="14614" width="1.5703125" customWidth="1"/>
    <col min="14615" max="14615" width="15.42578125" customWidth="1"/>
    <col min="14616" max="14616" width="14.42578125" customWidth="1"/>
    <col min="14617" max="14617" width="14.5703125" customWidth="1"/>
    <col min="14618" max="14618" width="1.5703125" customWidth="1"/>
    <col min="14852" max="14852" width="18.42578125" customWidth="1"/>
    <col min="14853" max="14853" width="26.42578125" customWidth="1"/>
    <col min="14854" max="14854" width="10.42578125" bestFit="1" customWidth="1"/>
    <col min="14855" max="14855" width="8.5703125" customWidth="1"/>
    <col min="14856" max="14856" width="6" customWidth="1"/>
    <col min="14857" max="14857" width="5.5703125" customWidth="1"/>
    <col min="14858" max="14859" width="5.42578125" customWidth="1"/>
    <col min="14860" max="14860" width="5.5703125" customWidth="1"/>
    <col min="14861" max="14861" width="6.42578125" customWidth="1"/>
    <col min="14862" max="14862" width="5.42578125" customWidth="1"/>
    <col min="14863" max="14863" width="8.42578125" customWidth="1"/>
    <col min="14864" max="14864" width="2.42578125" customWidth="1"/>
    <col min="14865" max="14865" width="8.42578125" customWidth="1"/>
    <col min="14866" max="14866" width="12.42578125" customWidth="1"/>
    <col min="14867" max="14867" width="1.5703125" customWidth="1"/>
    <col min="14868" max="14868" width="7.42578125" customWidth="1"/>
    <col min="14869" max="14869" width="8.42578125" customWidth="1"/>
    <col min="14870" max="14870" width="1.5703125" customWidth="1"/>
    <col min="14871" max="14871" width="15.42578125" customWidth="1"/>
    <col min="14872" max="14872" width="14.42578125" customWidth="1"/>
    <col min="14873" max="14873" width="14.5703125" customWidth="1"/>
    <col min="14874" max="14874" width="1.5703125" customWidth="1"/>
    <col min="15108" max="15108" width="18.42578125" customWidth="1"/>
    <col min="15109" max="15109" width="26.42578125" customWidth="1"/>
    <col min="15110" max="15110" width="10.42578125" bestFit="1" customWidth="1"/>
    <col min="15111" max="15111" width="8.5703125" customWidth="1"/>
    <col min="15112" max="15112" width="6" customWidth="1"/>
    <col min="15113" max="15113" width="5.5703125" customWidth="1"/>
    <col min="15114" max="15115" width="5.42578125" customWidth="1"/>
    <col min="15116" max="15116" width="5.5703125" customWidth="1"/>
    <col min="15117" max="15117" width="6.42578125" customWidth="1"/>
    <col min="15118" max="15118" width="5.42578125" customWidth="1"/>
    <col min="15119" max="15119" width="8.42578125" customWidth="1"/>
    <col min="15120" max="15120" width="2.42578125" customWidth="1"/>
    <col min="15121" max="15121" width="8.42578125" customWidth="1"/>
    <col min="15122" max="15122" width="12.42578125" customWidth="1"/>
    <col min="15123" max="15123" width="1.5703125" customWidth="1"/>
    <col min="15124" max="15124" width="7.42578125" customWidth="1"/>
    <col min="15125" max="15125" width="8.42578125" customWidth="1"/>
    <col min="15126" max="15126" width="1.5703125" customWidth="1"/>
    <col min="15127" max="15127" width="15.42578125" customWidth="1"/>
    <col min="15128" max="15128" width="14.42578125" customWidth="1"/>
    <col min="15129" max="15129" width="14.5703125" customWidth="1"/>
    <col min="15130" max="15130" width="1.5703125" customWidth="1"/>
    <col min="15364" max="15364" width="18.42578125" customWidth="1"/>
    <col min="15365" max="15365" width="26.42578125" customWidth="1"/>
    <col min="15366" max="15366" width="10.42578125" bestFit="1" customWidth="1"/>
    <col min="15367" max="15367" width="8.5703125" customWidth="1"/>
    <col min="15368" max="15368" width="6" customWidth="1"/>
    <col min="15369" max="15369" width="5.5703125" customWidth="1"/>
    <col min="15370" max="15371" width="5.42578125" customWidth="1"/>
    <col min="15372" max="15372" width="5.5703125" customWidth="1"/>
    <col min="15373" max="15373" width="6.42578125" customWidth="1"/>
    <col min="15374" max="15374" width="5.42578125" customWidth="1"/>
    <col min="15375" max="15375" width="8.42578125" customWidth="1"/>
    <col min="15376" max="15376" width="2.42578125" customWidth="1"/>
    <col min="15377" max="15377" width="8.42578125" customWidth="1"/>
    <col min="15378" max="15378" width="12.42578125" customWidth="1"/>
    <col min="15379" max="15379" width="1.5703125" customWidth="1"/>
    <col min="15380" max="15380" width="7.42578125" customWidth="1"/>
    <col min="15381" max="15381" width="8.42578125" customWidth="1"/>
    <col min="15382" max="15382" width="1.5703125" customWidth="1"/>
    <col min="15383" max="15383" width="15.42578125" customWidth="1"/>
    <col min="15384" max="15384" width="14.42578125" customWidth="1"/>
    <col min="15385" max="15385" width="14.5703125" customWidth="1"/>
    <col min="15386" max="15386" width="1.5703125" customWidth="1"/>
    <col min="15620" max="15620" width="18.42578125" customWidth="1"/>
    <col min="15621" max="15621" width="26.42578125" customWidth="1"/>
    <col min="15622" max="15622" width="10.42578125" bestFit="1" customWidth="1"/>
    <col min="15623" max="15623" width="8.5703125" customWidth="1"/>
    <col min="15624" max="15624" width="6" customWidth="1"/>
    <col min="15625" max="15625" width="5.5703125" customWidth="1"/>
    <col min="15626" max="15627" width="5.42578125" customWidth="1"/>
    <col min="15628" max="15628" width="5.5703125" customWidth="1"/>
    <col min="15629" max="15629" width="6.42578125" customWidth="1"/>
    <col min="15630" max="15630" width="5.42578125" customWidth="1"/>
    <col min="15631" max="15631" width="8.42578125" customWidth="1"/>
    <col min="15632" max="15632" width="2.42578125" customWidth="1"/>
    <col min="15633" max="15633" width="8.42578125" customWidth="1"/>
    <col min="15634" max="15634" width="12.42578125" customWidth="1"/>
    <col min="15635" max="15635" width="1.5703125" customWidth="1"/>
    <col min="15636" max="15636" width="7.42578125" customWidth="1"/>
    <col min="15637" max="15637" width="8.42578125" customWidth="1"/>
    <col min="15638" max="15638" width="1.5703125" customWidth="1"/>
    <col min="15639" max="15639" width="15.42578125" customWidth="1"/>
    <col min="15640" max="15640" width="14.42578125" customWidth="1"/>
    <col min="15641" max="15641" width="14.5703125" customWidth="1"/>
    <col min="15642" max="15642" width="1.5703125" customWidth="1"/>
    <col min="15876" max="15876" width="18.42578125" customWidth="1"/>
    <col min="15877" max="15877" width="26.42578125" customWidth="1"/>
    <col min="15878" max="15878" width="10.42578125" bestFit="1" customWidth="1"/>
    <col min="15879" max="15879" width="8.5703125" customWidth="1"/>
    <col min="15880" max="15880" width="6" customWidth="1"/>
    <col min="15881" max="15881" width="5.5703125" customWidth="1"/>
    <col min="15882" max="15883" width="5.42578125" customWidth="1"/>
    <col min="15884" max="15884" width="5.5703125" customWidth="1"/>
    <col min="15885" max="15885" width="6.42578125" customWidth="1"/>
    <col min="15886" max="15886" width="5.42578125" customWidth="1"/>
    <col min="15887" max="15887" width="8.42578125" customWidth="1"/>
    <col min="15888" max="15888" width="2.42578125" customWidth="1"/>
    <col min="15889" max="15889" width="8.42578125" customWidth="1"/>
    <col min="15890" max="15890" width="12.42578125" customWidth="1"/>
    <col min="15891" max="15891" width="1.5703125" customWidth="1"/>
    <col min="15892" max="15892" width="7.42578125" customWidth="1"/>
    <col min="15893" max="15893" width="8.42578125" customWidth="1"/>
    <col min="15894" max="15894" width="1.5703125" customWidth="1"/>
    <col min="15895" max="15895" width="15.42578125" customWidth="1"/>
    <col min="15896" max="15896" width="14.42578125" customWidth="1"/>
    <col min="15897" max="15897" width="14.5703125" customWidth="1"/>
    <col min="15898" max="15898" width="1.5703125" customWidth="1"/>
    <col min="16132" max="16132" width="18.42578125" customWidth="1"/>
    <col min="16133" max="16133" width="26.42578125" customWidth="1"/>
    <col min="16134" max="16134" width="10.42578125" bestFit="1" customWidth="1"/>
    <col min="16135" max="16135" width="8.5703125" customWidth="1"/>
    <col min="16136" max="16136" width="6" customWidth="1"/>
    <col min="16137" max="16137" width="5.5703125" customWidth="1"/>
    <col min="16138" max="16139" width="5.42578125" customWidth="1"/>
    <col min="16140" max="16140" width="5.5703125" customWidth="1"/>
    <col min="16141" max="16141" width="6.42578125" customWidth="1"/>
    <col min="16142" max="16142" width="5.42578125" customWidth="1"/>
    <col min="16143" max="16143" width="8.42578125" customWidth="1"/>
    <col min="16144" max="16144" width="2.42578125" customWidth="1"/>
    <col min="16145" max="16145" width="8.42578125" customWidth="1"/>
    <col min="16146" max="16146" width="12.42578125" customWidth="1"/>
    <col min="16147" max="16147" width="1.5703125" customWidth="1"/>
    <col min="16148" max="16148" width="7.42578125" customWidth="1"/>
    <col min="16149" max="16149" width="8.42578125" customWidth="1"/>
    <col min="16150" max="16150" width="1.5703125" customWidth="1"/>
    <col min="16151" max="16151" width="15.42578125" customWidth="1"/>
    <col min="16152" max="16152" width="14.42578125" customWidth="1"/>
    <col min="16153" max="16153" width="14.5703125" customWidth="1"/>
    <col min="16154" max="16154" width="1.5703125" customWidth="1"/>
  </cols>
  <sheetData>
    <row r="1" spans="1:47" s="1" customFormat="1" ht="25.5" customHeight="1" thickBot="1" x14ac:dyDescent="0.3">
      <c r="B1" s="7"/>
      <c r="C1" s="8"/>
      <c r="D1" s="9"/>
      <c r="O1" s="19"/>
      <c r="P1" s="5"/>
      <c r="Q1" s="5"/>
      <c r="R1" s="5"/>
      <c r="S1" s="30"/>
      <c r="T1" s="234" t="s">
        <v>0</v>
      </c>
      <c r="U1" s="234"/>
      <c r="V1" s="5"/>
      <c r="W1" s="5"/>
      <c r="X1" s="5"/>
      <c r="Y1" s="5"/>
      <c r="Z1" s="5"/>
      <c r="AE1" s="43"/>
    </row>
    <row r="2" spans="1:47" ht="15" customHeight="1" x14ac:dyDescent="0.25">
      <c r="B2" s="181" t="s">
        <v>1</v>
      </c>
      <c r="C2" s="184" t="s">
        <v>2</v>
      </c>
      <c r="D2" s="187" t="s">
        <v>3</v>
      </c>
      <c r="E2" s="231" t="s">
        <v>4</v>
      </c>
      <c r="F2" s="222" t="s">
        <v>5</v>
      </c>
      <c r="G2" s="219" t="s">
        <v>6</v>
      </c>
      <c r="H2" s="222" t="s">
        <v>7</v>
      </c>
      <c r="I2" s="222" t="s">
        <v>8</v>
      </c>
      <c r="J2" s="222" t="s">
        <v>9</v>
      </c>
      <c r="K2" s="219" t="s">
        <v>10</v>
      </c>
      <c r="L2" s="219" t="s">
        <v>11</v>
      </c>
      <c r="M2" s="225" t="s">
        <v>12</v>
      </c>
      <c r="N2" s="219" t="s">
        <v>13</v>
      </c>
      <c r="O2" s="228" t="s">
        <v>14</v>
      </c>
      <c r="P2" s="203" t="s">
        <v>15</v>
      </c>
      <c r="Q2" s="203" t="s">
        <v>16</v>
      </c>
      <c r="R2" s="10"/>
      <c r="S2" s="206" t="s">
        <v>17</v>
      </c>
      <c r="T2" s="209" t="s">
        <v>18</v>
      </c>
      <c r="U2" s="212" t="s">
        <v>19</v>
      </c>
      <c r="V2" s="215" t="s">
        <v>20</v>
      </c>
      <c r="W2" s="184" t="s">
        <v>21</v>
      </c>
      <c r="X2" s="184" t="s">
        <v>22</v>
      </c>
      <c r="Y2" s="184" t="s">
        <v>23</v>
      </c>
      <c r="Z2" s="184" t="s">
        <v>24</v>
      </c>
      <c r="AA2" s="1"/>
      <c r="AB2" s="235" t="s">
        <v>25</v>
      </c>
      <c r="AC2" s="171" t="s">
        <v>26</v>
      </c>
    </row>
    <row r="3" spans="1:47" x14ac:dyDescent="0.25">
      <c r="B3" s="182"/>
      <c r="C3" s="185"/>
      <c r="D3" s="188"/>
      <c r="E3" s="232"/>
      <c r="F3" s="223"/>
      <c r="G3" s="220"/>
      <c r="H3" s="223"/>
      <c r="I3" s="223"/>
      <c r="J3" s="223"/>
      <c r="K3" s="220"/>
      <c r="L3" s="220"/>
      <c r="M3" s="226"/>
      <c r="N3" s="220"/>
      <c r="O3" s="229"/>
      <c r="P3" s="204"/>
      <c r="Q3" s="204"/>
      <c r="R3" s="10"/>
      <c r="S3" s="207"/>
      <c r="T3" s="210"/>
      <c r="U3" s="213"/>
      <c r="V3" s="216"/>
      <c r="W3" s="185"/>
      <c r="X3" s="185"/>
      <c r="Y3" s="185"/>
      <c r="Z3" s="185"/>
      <c r="AA3" s="1"/>
      <c r="AB3" s="236"/>
      <c r="AC3" s="238">
        <v>885</v>
      </c>
    </row>
    <row r="4" spans="1:47" ht="14.85" customHeight="1" x14ac:dyDescent="0.25">
      <c r="B4" s="182"/>
      <c r="C4" s="185"/>
      <c r="D4" s="188"/>
      <c r="E4" s="232"/>
      <c r="F4" s="223"/>
      <c r="G4" s="220"/>
      <c r="H4" s="223"/>
      <c r="I4" s="223"/>
      <c r="J4" s="223"/>
      <c r="K4" s="220"/>
      <c r="L4" s="220"/>
      <c r="M4" s="226"/>
      <c r="N4" s="220"/>
      <c r="O4" s="229"/>
      <c r="P4" s="204"/>
      <c r="Q4" s="204"/>
      <c r="R4" s="10"/>
      <c r="S4" s="207"/>
      <c r="T4" s="210"/>
      <c r="U4" s="213"/>
      <c r="V4" s="216"/>
      <c r="W4" s="185"/>
      <c r="X4" s="185"/>
      <c r="Y4" s="185"/>
      <c r="Z4" s="185"/>
      <c r="AA4" s="1"/>
      <c r="AB4" s="236"/>
      <c r="AC4" s="238"/>
    </row>
    <row r="5" spans="1:47" s="1" customFormat="1" ht="27.75" customHeight="1" thickBot="1" x14ac:dyDescent="0.3">
      <c r="B5" s="183"/>
      <c r="C5" s="186"/>
      <c r="D5" s="189"/>
      <c r="E5" s="233"/>
      <c r="F5" s="224"/>
      <c r="G5" s="221"/>
      <c r="H5" s="224"/>
      <c r="I5" s="224"/>
      <c r="J5" s="224"/>
      <c r="K5" s="221"/>
      <c r="L5" s="221"/>
      <c r="M5" s="227"/>
      <c r="N5" s="221"/>
      <c r="O5" s="230"/>
      <c r="P5" s="205"/>
      <c r="Q5" s="205"/>
      <c r="R5" s="10"/>
      <c r="S5" s="208"/>
      <c r="T5" s="211"/>
      <c r="U5" s="214"/>
      <c r="V5" s="217"/>
      <c r="W5" s="186"/>
      <c r="X5" s="186"/>
      <c r="Y5" s="186"/>
      <c r="Z5" s="186"/>
      <c r="AB5" s="237"/>
      <c r="AC5" s="239"/>
      <c r="AE5" s="43"/>
    </row>
    <row r="6" spans="1:47" s="1" customFormat="1" x14ac:dyDescent="0.25">
      <c r="B6" s="7"/>
      <c r="C6" s="77"/>
      <c r="D6" s="77"/>
      <c r="E6" s="72"/>
      <c r="F6" s="72"/>
      <c r="G6" s="72"/>
      <c r="H6" s="72"/>
      <c r="I6" s="72"/>
      <c r="J6" s="72"/>
      <c r="K6" s="73"/>
      <c r="L6" s="73"/>
      <c r="M6" s="74"/>
      <c r="N6" s="73"/>
      <c r="O6" s="73"/>
      <c r="P6" s="14"/>
      <c r="Q6" s="14"/>
      <c r="R6" s="14"/>
      <c r="S6" s="75"/>
      <c r="T6" s="88"/>
      <c r="U6" s="14"/>
      <c r="V6" s="14"/>
      <c r="W6" s="14"/>
      <c r="X6" s="14"/>
      <c r="Y6" s="14"/>
      <c r="Z6" s="14"/>
      <c r="AB6" s="14"/>
      <c r="AC6" s="76"/>
      <c r="AE6" s="43"/>
    </row>
    <row r="7" spans="1:47" s="1" customFormat="1" ht="15.75" thickBot="1" x14ac:dyDescent="0.3">
      <c r="B7" s="111" t="s">
        <v>27</v>
      </c>
      <c r="E7" s="4"/>
      <c r="F7" s="5"/>
      <c r="G7" s="5"/>
      <c r="H7" s="5"/>
      <c r="I7" s="5"/>
      <c r="J7" s="5"/>
      <c r="K7" s="5"/>
      <c r="L7" s="5"/>
      <c r="M7" s="5"/>
      <c r="N7" s="5"/>
      <c r="O7" s="20"/>
      <c r="S7" s="31"/>
      <c r="AB7" s="6"/>
      <c r="AE7" s="43"/>
    </row>
    <row r="8" spans="1:47" s="1" customFormat="1" x14ac:dyDescent="0.25">
      <c r="B8" s="98" t="s">
        <v>28</v>
      </c>
      <c r="C8" s="99" t="s">
        <v>29</v>
      </c>
      <c r="D8" s="99">
        <v>21800</v>
      </c>
      <c r="E8" s="99"/>
      <c r="F8" s="99">
        <v>3300</v>
      </c>
      <c r="G8" s="99">
        <v>175</v>
      </c>
      <c r="H8" s="99">
        <v>200</v>
      </c>
      <c r="I8" s="99">
        <v>400</v>
      </c>
      <c r="J8" s="99"/>
      <c r="K8" s="99">
        <v>150</v>
      </c>
      <c r="L8" s="99"/>
      <c r="M8" s="99"/>
      <c r="N8" s="99"/>
      <c r="O8" s="99">
        <v>17000</v>
      </c>
      <c r="P8" s="99">
        <f>SUM(D8:O8)</f>
        <v>43025</v>
      </c>
      <c r="Q8" s="100">
        <f t="shared" ref="Q8:Q17" si="0">+P8*$AC$3</f>
        <v>38077125</v>
      </c>
      <c r="R8" s="11"/>
      <c r="S8" s="101">
        <f t="shared" ref="S8:S16" si="1">+(U8-P8)/U8</f>
        <v>0.1626445058580826</v>
      </c>
      <c r="T8" s="85">
        <f>(Q8/(1-S8))</f>
        <v>45473070</v>
      </c>
      <c r="U8" s="42">
        <v>51382</v>
      </c>
      <c r="V8" s="90">
        <f>Z8/Y8</f>
        <v>8.9830984628350694E-2</v>
      </c>
      <c r="W8" s="90">
        <v>0.08</v>
      </c>
      <c r="X8" s="50">
        <v>400000</v>
      </c>
      <c r="Y8" s="50">
        <f t="shared" ref="Y8:Y11" si="2">U8*(1-W8)</f>
        <v>47271.44</v>
      </c>
      <c r="Z8" s="50">
        <f t="shared" ref="Z8:Z17" si="3">Y8-P8</f>
        <v>4246.4400000000023</v>
      </c>
      <c r="AB8" s="103"/>
      <c r="AC8" s="16"/>
      <c r="AE8" s="43"/>
    </row>
    <row r="9" spans="1:47" s="83" customFormat="1" ht="15.75" thickBot="1" x14ac:dyDescent="0.3">
      <c r="A9" s="1"/>
      <c r="B9" s="98" t="s">
        <v>30</v>
      </c>
      <c r="C9" s="113" t="s">
        <v>29</v>
      </c>
      <c r="D9" s="104">
        <v>24200</v>
      </c>
      <c r="E9" s="104">
        <f t="shared" ref="E9:E16" si="4">+D9*($E$7)</f>
        <v>0</v>
      </c>
      <c r="F9" s="104">
        <v>3750</v>
      </c>
      <c r="G9" s="104">
        <v>175</v>
      </c>
      <c r="H9" s="104">
        <v>200</v>
      </c>
      <c r="I9" s="104">
        <v>400</v>
      </c>
      <c r="J9" s="104"/>
      <c r="K9" s="104">
        <v>150</v>
      </c>
      <c r="L9" s="104"/>
      <c r="M9" s="105">
        <v>1200</v>
      </c>
      <c r="N9" s="104"/>
      <c r="O9" s="104"/>
      <c r="P9" s="114">
        <f t="shared" ref="P9:P14" si="5">SUM(D9:O9)</f>
        <v>30075</v>
      </c>
      <c r="Q9" s="100">
        <f t="shared" si="0"/>
        <v>26616375</v>
      </c>
      <c r="R9" s="11"/>
      <c r="S9" s="101">
        <f t="shared" ca="1" si="1"/>
        <v>0.30846171533685907</v>
      </c>
      <c r="T9" s="85">
        <f ca="1">(Q9/(1-S9))</f>
        <v>39050700.000030354</v>
      </c>
      <c r="U9" s="42">
        <f ca="1">T9/$AC$3</f>
        <v>41990.00000003264</v>
      </c>
      <c r="V9" s="90">
        <f t="shared" ref="V9:V16" ca="1" si="6">Z9/Y9</f>
        <v>0.21844140454521399</v>
      </c>
      <c r="W9" s="90">
        <v>0.08</v>
      </c>
      <c r="X9" s="50">
        <v>250000</v>
      </c>
      <c r="Y9" s="50">
        <f t="shared" ca="1" si="2"/>
        <v>40470.800000000003</v>
      </c>
      <c r="Z9" s="50">
        <f t="shared" ca="1" si="3"/>
        <v>8405.8000000300308</v>
      </c>
      <c r="AA9" s="1"/>
      <c r="AB9" s="103"/>
      <c r="AC9" s="16"/>
      <c r="AD9" s="1"/>
      <c r="AE9" s="43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s="1" customFormat="1" x14ac:dyDescent="0.25">
      <c r="B10" s="98" t="s">
        <v>31</v>
      </c>
      <c r="C10" s="108"/>
      <c r="D10" s="108">
        <v>24200</v>
      </c>
      <c r="E10" s="108">
        <f t="shared" si="4"/>
        <v>0</v>
      </c>
      <c r="F10" s="108">
        <v>3750</v>
      </c>
      <c r="G10" s="108">
        <v>175</v>
      </c>
      <c r="H10" s="108">
        <v>200</v>
      </c>
      <c r="I10" s="108">
        <v>400</v>
      </c>
      <c r="J10" s="108"/>
      <c r="K10" s="108">
        <v>150</v>
      </c>
      <c r="L10" s="108"/>
      <c r="M10" s="108">
        <v>1200</v>
      </c>
      <c r="N10" s="108"/>
      <c r="O10" s="108">
        <f>4600000/AC3</f>
        <v>5197.7401129943501</v>
      </c>
      <c r="P10" s="108">
        <f t="shared" si="5"/>
        <v>35272.740112994346</v>
      </c>
      <c r="Q10" s="100">
        <f t="shared" si="0"/>
        <v>31216374.999999996</v>
      </c>
      <c r="R10" s="11"/>
      <c r="S10" s="101">
        <f t="shared" si="1"/>
        <v>0.26532419392798312</v>
      </c>
      <c r="T10" s="85">
        <v>42490000</v>
      </c>
      <c r="U10" s="42">
        <f>+T10/AC3</f>
        <v>48011.299435028246</v>
      </c>
      <c r="V10" s="90">
        <f t="shared" si="6"/>
        <v>0.20143934122606866</v>
      </c>
      <c r="W10" s="90">
        <v>0.08</v>
      </c>
      <c r="X10" s="50">
        <v>500000</v>
      </c>
      <c r="Y10" s="50">
        <f t="shared" si="2"/>
        <v>44170.39548022599</v>
      </c>
      <c r="Z10" s="50">
        <f t="shared" si="3"/>
        <v>8897.655367231644</v>
      </c>
      <c r="AB10" s="102"/>
      <c r="AC10" s="16"/>
      <c r="AE10" s="43"/>
    </row>
    <row r="11" spans="1:47" s="1" customFormat="1" x14ac:dyDescent="0.25">
      <c r="B11" s="98" t="s">
        <v>32</v>
      </c>
      <c r="C11" s="113" t="s">
        <v>29</v>
      </c>
      <c r="D11" s="104">
        <v>37000</v>
      </c>
      <c r="E11" s="104">
        <f t="shared" si="4"/>
        <v>0</v>
      </c>
      <c r="F11" s="104">
        <v>3300</v>
      </c>
      <c r="G11" s="104">
        <v>175</v>
      </c>
      <c r="H11" s="104">
        <v>400</v>
      </c>
      <c r="I11" s="104">
        <v>400</v>
      </c>
      <c r="J11" s="104"/>
      <c r="K11" s="104">
        <v>150</v>
      </c>
      <c r="L11" s="104"/>
      <c r="M11" s="105">
        <v>1500</v>
      </c>
      <c r="N11" s="104"/>
      <c r="O11" s="104"/>
      <c r="P11" s="104">
        <f t="shared" si="5"/>
        <v>42925</v>
      </c>
      <c r="Q11" s="100">
        <f t="shared" si="0"/>
        <v>37988625</v>
      </c>
      <c r="R11" s="11"/>
      <c r="S11" s="101">
        <f t="shared" si="1"/>
        <v>0.17831163859111793</v>
      </c>
      <c r="T11" s="85">
        <f>(Q11/(1-S11))</f>
        <v>46232400</v>
      </c>
      <c r="U11" s="42">
        <v>52240</v>
      </c>
      <c r="V11" s="90">
        <f t="shared" si="6"/>
        <v>0.10686047672947604</v>
      </c>
      <c r="W11" s="90">
        <v>0.08</v>
      </c>
      <c r="X11" s="50">
        <v>500000</v>
      </c>
      <c r="Y11" s="50">
        <f t="shared" si="2"/>
        <v>48060.800000000003</v>
      </c>
      <c r="Z11" s="50">
        <f t="shared" si="3"/>
        <v>5135.8000000000029</v>
      </c>
      <c r="AB11" s="103"/>
      <c r="AC11" s="16"/>
      <c r="AE11" s="43"/>
    </row>
    <row r="12" spans="1:47" s="1" customFormat="1" x14ac:dyDescent="0.25">
      <c r="B12" s="98" t="s">
        <v>33</v>
      </c>
      <c r="C12" s="104" t="s">
        <v>29</v>
      </c>
      <c r="D12" s="104">
        <v>37000</v>
      </c>
      <c r="E12" s="104">
        <f t="shared" si="4"/>
        <v>0</v>
      </c>
      <c r="F12" s="104">
        <v>3300</v>
      </c>
      <c r="G12" s="104">
        <v>175</v>
      </c>
      <c r="H12" s="104">
        <v>400</v>
      </c>
      <c r="I12" s="104">
        <v>400</v>
      </c>
      <c r="J12" s="104"/>
      <c r="K12" s="104">
        <v>200</v>
      </c>
      <c r="L12" s="104"/>
      <c r="M12" s="104">
        <v>1500</v>
      </c>
      <c r="N12" s="104"/>
      <c r="O12" s="104">
        <v>1250</v>
      </c>
      <c r="P12" s="104">
        <f t="shared" si="5"/>
        <v>44225</v>
      </c>
      <c r="Q12" s="100">
        <f t="shared" si="0"/>
        <v>39139125</v>
      </c>
      <c r="R12" s="11"/>
      <c r="S12" s="101">
        <f t="shared" si="1"/>
        <v>-5.3421232098204135E-3</v>
      </c>
      <c r="T12" s="85">
        <f>(Q12/(1-S12))</f>
        <v>38931150.000000007</v>
      </c>
      <c r="U12" s="87">
        <v>43990</v>
      </c>
      <c r="V12" s="90">
        <f t="shared" si="6"/>
        <v>-9.2763177401978633E-2</v>
      </c>
      <c r="W12" s="90">
        <v>0.08</v>
      </c>
      <c r="X12" s="50">
        <v>500000</v>
      </c>
      <c r="Y12" s="50">
        <f>U12*(1-W12)</f>
        <v>40470.800000000003</v>
      </c>
      <c r="Z12" s="50">
        <f t="shared" si="3"/>
        <v>-3754.1999999999971</v>
      </c>
      <c r="AB12" s="103"/>
      <c r="AC12" s="16"/>
      <c r="AE12" s="43"/>
    </row>
    <row r="13" spans="1:47" s="1" customFormat="1" x14ac:dyDescent="0.25">
      <c r="B13" s="98" t="s">
        <v>34</v>
      </c>
      <c r="C13" s="104" t="s">
        <v>35</v>
      </c>
      <c r="D13" s="104">
        <v>25833</v>
      </c>
      <c r="E13" s="104">
        <f t="shared" si="4"/>
        <v>0</v>
      </c>
      <c r="F13" s="104">
        <v>3300</v>
      </c>
      <c r="G13" s="104">
        <v>150</v>
      </c>
      <c r="H13" s="104">
        <v>400</v>
      </c>
      <c r="I13" s="104">
        <v>300</v>
      </c>
      <c r="J13" s="104"/>
      <c r="K13" s="104">
        <v>200</v>
      </c>
      <c r="L13" s="104"/>
      <c r="M13" s="104"/>
      <c r="N13" s="104"/>
      <c r="O13" s="104"/>
      <c r="P13" s="104">
        <f t="shared" si="5"/>
        <v>30183</v>
      </c>
      <c r="Q13" s="100">
        <f t="shared" si="0"/>
        <v>26711955</v>
      </c>
      <c r="R13" s="11"/>
      <c r="S13" s="101">
        <f t="shared" si="1"/>
        <v>0.24730673316708229</v>
      </c>
      <c r="T13" s="85">
        <f>(Q13/(1-S13))</f>
        <v>35488500</v>
      </c>
      <c r="U13" s="42">
        <v>40100</v>
      </c>
      <c r="V13" s="90">
        <f t="shared" si="6"/>
        <v>0.18185514474682857</v>
      </c>
      <c r="W13" s="90">
        <v>0.08</v>
      </c>
      <c r="X13" s="50">
        <v>500000</v>
      </c>
      <c r="Y13" s="50">
        <f t="shared" ref="Y13:Y16" si="7">U13*(1-W13)</f>
        <v>36892</v>
      </c>
      <c r="Z13" s="50">
        <f t="shared" si="3"/>
        <v>6709</v>
      </c>
      <c r="AB13" s="103"/>
      <c r="AC13" s="16"/>
      <c r="AE13" s="43"/>
    </row>
    <row r="14" spans="1:47" s="1" customFormat="1" x14ac:dyDescent="0.25">
      <c r="B14" s="98" t="s">
        <v>36</v>
      </c>
      <c r="C14" s="104"/>
      <c r="D14" s="104">
        <v>24200</v>
      </c>
      <c r="E14" s="104">
        <f t="shared" si="4"/>
        <v>0</v>
      </c>
      <c r="F14" s="104">
        <v>3750</v>
      </c>
      <c r="G14" s="104">
        <v>175</v>
      </c>
      <c r="H14" s="104">
        <v>200</v>
      </c>
      <c r="I14" s="104">
        <v>400</v>
      </c>
      <c r="J14" s="104"/>
      <c r="K14" s="104">
        <v>150</v>
      </c>
      <c r="L14" s="104"/>
      <c r="M14" s="104">
        <v>1200</v>
      </c>
      <c r="N14" s="104"/>
      <c r="O14" s="104"/>
      <c r="P14" s="104">
        <f t="shared" si="5"/>
        <v>30075</v>
      </c>
      <c r="Q14" s="100">
        <f t="shared" si="0"/>
        <v>26616375</v>
      </c>
      <c r="R14" s="11"/>
      <c r="S14" s="101">
        <f t="shared" si="1"/>
        <v>0.30846171533685907</v>
      </c>
      <c r="T14" s="85">
        <f>(Q14/(1-S14))</f>
        <v>38488650</v>
      </c>
      <c r="U14" s="87">
        <v>43490</v>
      </c>
      <c r="V14" s="90">
        <f t="shared" si="6"/>
        <v>0.24832795145310771</v>
      </c>
      <c r="W14" s="90">
        <v>0.08</v>
      </c>
      <c r="X14" s="50">
        <v>500000</v>
      </c>
      <c r="Y14" s="50">
        <f t="shared" si="7"/>
        <v>40010.800000000003</v>
      </c>
      <c r="Z14" s="50">
        <f t="shared" si="3"/>
        <v>9935.8000000000029</v>
      </c>
      <c r="AB14" s="102"/>
      <c r="AC14" s="16"/>
      <c r="AE14" s="43"/>
    </row>
    <row r="15" spans="1:47" s="1" customFormat="1" ht="15.75" thickBot="1" x14ac:dyDescent="0.3">
      <c r="B15" s="98" t="s">
        <v>37</v>
      </c>
      <c r="C15" s="109"/>
      <c r="D15" s="109">
        <v>24200</v>
      </c>
      <c r="E15" s="109">
        <f t="shared" si="4"/>
        <v>0</v>
      </c>
      <c r="F15" s="109">
        <v>3750</v>
      </c>
      <c r="G15" s="109">
        <v>175</v>
      </c>
      <c r="H15" s="109">
        <v>200</v>
      </c>
      <c r="I15" s="109">
        <v>400</v>
      </c>
      <c r="J15" s="109"/>
      <c r="K15" s="109">
        <v>150</v>
      </c>
      <c r="L15" s="109"/>
      <c r="M15" s="109">
        <v>1200</v>
      </c>
      <c r="N15" s="109"/>
      <c r="O15" s="109">
        <f>6300000/AC3</f>
        <v>7118.6440677966102</v>
      </c>
      <c r="P15" s="109">
        <f t="shared" ref="P15" si="8">SUM(D15:O15)</f>
        <v>37193.644067796609</v>
      </c>
      <c r="Q15" s="100">
        <f t="shared" si="0"/>
        <v>32916375</v>
      </c>
      <c r="R15" s="11"/>
      <c r="S15" s="101">
        <f t="shared" si="1"/>
        <v>0.17329086312965972</v>
      </c>
      <c r="T15" s="85">
        <f>(Q15/(1-S15))</f>
        <v>39816150</v>
      </c>
      <c r="U15" s="42">
        <v>44990</v>
      </c>
      <c r="V15" s="90">
        <f t="shared" si="6"/>
        <v>0.10140311209745628</v>
      </c>
      <c r="W15" s="90">
        <v>0.08</v>
      </c>
      <c r="X15" s="50">
        <v>500000</v>
      </c>
      <c r="Y15" s="50">
        <f t="shared" si="7"/>
        <v>41390.800000000003</v>
      </c>
      <c r="Z15" s="50">
        <f t="shared" si="3"/>
        <v>4197.1559322033936</v>
      </c>
      <c r="AB15" s="102"/>
      <c r="AC15" s="16"/>
      <c r="AE15" s="43"/>
    </row>
    <row r="16" spans="1:47" s="1" customFormat="1" x14ac:dyDescent="0.25">
      <c r="B16" s="98" t="s">
        <v>38</v>
      </c>
      <c r="C16" s="99"/>
      <c r="D16" s="99">
        <v>24200</v>
      </c>
      <c r="E16" s="99">
        <f t="shared" si="4"/>
        <v>0</v>
      </c>
      <c r="F16" s="99">
        <v>3750</v>
      </c>
      <c r="G16" s="99">
        <v>175</v>
      </c>
      <c r="H16" s="99">
        <v>200</v>
      </c>
      <c r="I16" s="99">
        <v>400</v>
      </c>
      <c r="J16" s="99"/>
      <c r="K16" s="99">
        <v>150</v>
      </c>
      <c r="L16" s="99"/>
      <c r="M16" s="99">
        <v>1200</v>
      </c>
      <c r="N16" s="99"/>
      <c r="O16" s="99">
        <v>5900</v>
      </c>
      <c r="P16" s="99">
        <f>SUM(D16:O16)</f>
        <v>35975</v>
      </c>
      <c r="Q16" s="100">
        <f t="shared" si="0"/>
        <v>31837875</v>
      </c>
      <c r="R16" s="11"/>
      <c r="S16" s="101">
        <f t="shared" ca="1" si="1"/>
        <v>0.2334725817839492</v>
      </c>
      <c r="T16" s="85">
        <v>43990000</v>
      </c>
      <c r="U16" s="42">
        <f ca="1">(P16/(1-S16))</f>
        <v>48620.069702290981</v>
      </c>
      <c r="V16" s="90">
        <f t="shared" ca="1" si="6"/>
        <v>0.19303217888815288</v>
      </c>
      <c r="W16" s="90">
        <v>0.08</v>
      </c>
      <c r="X16" s="50">
        <v>500000</v>
      </c>
      <c r="Y16" s="50">
        <f t="shared" ca="1" si="7"/>
        <v>41390.800000000003</v>
      </c>
      <c r="Z16" s="50">
        <f t="shared" ca="1" si="3"/>
        <v>8605.4641261077049</v>
      </c>
      <c r="AB16" s="102"/>
      <c r="AC16" s="16"/>
      <c r="AE16" s="43"/>
    </row>
    <row r="17" spans="1:114" s="1" customFormat="1" x14ac:dyDescent="0.25">
      <c r="B17" s="98" t="s">
        <v>39</v>
      </c>
      <c r="C17" s="113"/>
      <c r="D17" s="104">
        <v>44000</v>
      </c>
      <c r="E17" s="104">
        <f>+D17*($E$7)</f>
        <v>0</v>
      </c>
      <c r="F17" s="104">
        <v>3709</v>
      </c>
      <c r="G17" s="104">
        <v>106</v>
      </c>
      <c r="H17" s="104">
        <v>222</v>
      </c>
      <c r="I17" s="104">
        <v>250</v>
      </c>
      <c r="J17" s="104"/>
      <c r="K17" s="104">
        <v>178</v>
      </c>
      <c r="L17" s="104"/>
      <c r="M17" s="104"/>
      <c r="N17" s="104"/>
      <c r="O17" s="104"/>
      <c r="P17" s="140">
        <f>SUM(D17:O17)</f>
        <v>48465</v>
      </c>
      <c r="Q17" s="50">
        <f t="shared" si="0"/>
        <v>42891525</v>
      </c>
      <c r="R17" s="11"/>
      <c r="S17" s="101">
        <v>0.17499999999999999</v>
      </c>
      <c r="T17" s="85">
        <f>(Q17/(1-S17))</f>
        <v>51989727.272727273</v>
      </c>
      <c r="U17" s="42">
        <f>T17/$AC$3</f>
        <v>58745.454545454544</v>
      </c>
      <c r="V17" s="90">
        <f>Z17/Y17</f>
        <v>0.10326086956521742</v>
      </c>
      <c r="W17" s="90">
        <v>0.08</v>
      </c>
      <c r="X17" s="50">
        <v>500000</v>
      </c>
      <c r="Y17" s="50">
        <f>U17*(1-W17)</f>
        <v>54045.818181818184</v>
      </c>
      <c r="Z17" s="50">
        <f t="shared" si="3"/>
        <v>5580.8181818181838</v>
      </c>
      <c r="AB17" s="29"/>
      <c r="AC17" s="16"/>
      <c r="AE17" s="43"/>
    </row>
    <row r="18" spans="1:114" x14ac:dyDescent="0.25">
      <c r="A18"/>
      <c r="B18" s="125"/>
      <c r="C18" s="126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42"/>
      <c r="P18" s="15"/>
      <c r="Q18" s="15"/>
      <c r="R18" s="15"/>
      <c r="S18" s="141"/>
      <c r="T18" s="93"/>
      <c r="U18" s="91"/>
      <c r="V18" s="92"/>
      <c r="W18" s="94"/>
      <c r="X18" s="94"/>
      <c r="Y18" s="94"/>
      <c r="Z18" s="91"/>
      <c r="AB18" s="95"/>
      <c r="AC18" s="96"/>
      <c r="AD18"/>
      <c r="AE18" s="97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</row>
    <row r="19" spans="1:114" s="1" customFormat="1" x14ac:dyDescent="0.25"/>
    <row r="20" spans="1:114" s="1" customFormat="1" ht="15.75" thickBot="1" x14ac:dyDescent="0.3">
      <c r="B20" s="136" t="s">
        <v>40</v>
      </c>
      <c r="E20" s="4"/>
      <c r="F20" s="5"/>
      <c r="G20" s="5"/>
      <c r="H20" s="5"/>
      <c r="I20" s="5"/>
      <c r="J20" s="5"/>
      <c r="K20" s="5"/>
      <c r="L20" s="5"/>
      <c r="M20" s="5"/>
      <c r="N20" s="5"/>
      <c r="O20" s="20"/>
      <c r="S20" s="31"/>
      <c r="AB20" s="6"/>
    </row>
    <row r="21" spans="1:114" s="1" customFormat="1" x14ac:dyDescent="0.25">
      <c r="B21" s="137" t="s">
        <v>41</v>
      </c>
      <c r="C21" s="138"/>
      <c r="D21" s="139">
        <v>32630</v>
      </c>
      <c r="E21" s="139"/>
      <c r="F21" s="139">
        <v>4200</v>
      </c>
      <c r="G21" s="139">
        <v>100</v>
      </c>
      <c r="H21" s="139">
        <v>150</v>
      </c>
      <c r="I21" s="139"/>
      <c r="J21" s="139"/>
      <c r="K21" s="139">
        <f>+U21*W37</f>
        <v>580.6437869650008</v>
      </c>
      <c r="L21" s="139"/>
      <c r="M21" s="139"/>
      <c r="N21" s="139"/>
      <c r="O21" s="139">
        <f>15490000/AC3</f>
        <v>17502.824858757063</v>
      </c>
      <c r="P21" s="165">
        <f>SUM(D21:O21)</f>
        <v>55163.468645722067</v>
      </c>
      <c r="Q21" s="166">
        <f t="shared" ref="Q21:Q27" si="9">+P21*$AC$3</f>
        <v>48819669.751464032</v>
      </c>
      <c r="R21" s="11"/>
      <c r="S21" s="101">
        <f t="shared" ref="S21:S27" si="10">+(U21-P21)/U21</f>
        <v>0.23996818863339178</v>
      </c>
      <c r="T21" s="85">
        <f t="shared" ref="T21:T27" si="11">(Q21/(1-S21))</f>
        <v>64233718.933003217</v>
      </c>
      <c r="U21" s="42">
        <v>72580.473370625099</v>
      </c>
      <c r="V21" s="90">
        <f>Z21/Y21</f>
        <v>0.17387846590586065</v>
      </c>
      <c r="W21" s="90">
        <v>0.08</v>
      </c>
      <c r="X21" s="50">
        <v>400000</v>
      </c>
      <c r="Y21" s="50">
        <f t="shared" ref="Y21:Y24" si="12">U21*(1-W21)</f>
        <v>66774.035500975093</v>
      </c>
      <c r="Z21" s="50">
        <f t="shared" ref="Z21:Z27" si="13">Y21-P21</f>
        <v>11610.566855253026</v>
      </c>
      <c r="AB21" s="103"/>
    </row>
    <row r="22" spans="1:114" s="1" customFormat="1" x14ac:dyDescent="0.25">
      <c r="B22" s="137" t="s">
        <v>42</v>
      </c>
      <c r="C22" s="167"/>
      <c r="D22" s="139">
        <v>33940</v>
      </c>
      <c r="E22" s="139"/>
      <c r="F22" s="139">
        <v>4200</v>
      </c>
      <c r="G22" s="139">
        <v>100</v>
      </c>
      <c r="H22" s="139">
        <v>150</v>
      </c>
      <c r="I22" s="139"/>
      <c r="J22" s="139"/>
      <c r="K22" s="139">
        <f>+U22*V37</f>
        <v>570.5290824177697</v>
      </c>
      <c r="L22" s="139"/>
      <c r="M22" s="139"/>
      <c r="N22" s="139"/>
      <c r="O22" s="139">
        <f>13490000/AC3</f>
        <v>15242.937853107345</v>
      </c>
      <c r="P22" s="165">
        <f>SUM(D22:O22)</f>
        <v>54203.466935525117</v>
      </c>
      <c r="Q22" s="166">
        <f t="shared" si="9"/>
        <v>47970068.23793973</v>
      </c>
      <c r="R22" s="11"/>
      <c r="S22" s="101">
        <f t="shared" si="10"/>
        <v>0.2399550717965378</v>
      </c>
      <c r="T22" s="85">
        <f t="shared" si="11"/>
        <v>63114779.742465772</v>
      </c>
      <c r="U22" s="42">
        <v>71316.135302221213</v>
      </c>
      <c r="V22" s="90">
        <f>Z22/Y22</f>
        <v>0.17386420847449771</v>
      </c>
      <c r="W22" s="90">
        <v>0.08</v>
      </c>
      <c r="X22" s="50">
        <v>400000</v>
      </c>
      <c r="Y22" s="50">
        <f t="shared" ref="Y22" si="14">U22*(1-W22)</f>
        <v>65610.844478043524</v>
      </c>
      <c r="Z22" s="50">
        <f t="shared" si="13"/>
        <v>11407.377542518407</v>
      </c>
      <c r="AB22" s="102"/>
    </row>
    <row r="23" spans="1:114" s="1" customFormat="1" x14ac:dyDescent="0.25">
      <c r="B23" s="137" t="s">
        <v>43</v>
      </c>
      <c r="C23" s="169"/>
      <c r="D23" s="139">
        <v>33940</v>
      </c>
      <c r="E23" s="139"/>
      <c r="F23" s="139">
        <v>4200</v>
      </c>
      <c r="G23" s="139">
        <v>100</v>
      </c>
      <c r="H23" s="139">
        <v>150</v>
      </c>
      <c r="I23" s="139"/>
      <c r="J23" s="139"/>
      <c r="K23" s="139">
        <f>+U23*V37</f>
        <v>476.01711282955262</v>
      </c>
      <c r="L23" s="139"/>
      <c r="M23" s="139"/>
      <c r="N23" s="139"/>
      <c r="O23" s="139">
        <f>5600000/AC3</f>
        <v>6327.6836158192091</v>
      </c>
      <c r="P23" s="165">
        <f>SUM(D23:O23)</f>
        <v>45193.700728648764</v>
      </c>
      <c r="Q23" s="166">
        <f t="shared" si="9"/>
        <v>39996425.144854158</v>
      </c>
      <c r="R23" s="11"/>
      <c r="S23" s="101">
        <f t="shared" si="10"/>
        <v>0.24046931069335287</v>
      </c>
      <c r="T23" s="85">
        <f t="shared" si="11"/>
        <v>52659393.106769256</v>
      </c>
      <c r="U23" s="42">
        <v>59502.139103694077</v>
      </c>
      <c r="V23" s="90">
        <f t="shared" ref="V23:V26" si="15">Z23/Y23</f>
        <v>0.17442316379712275</v>
      </c>
      <c r="W23" s="90">
        <v>0.08</v>
      </c>
      <c r="X23" s="50">
        <v>400000</v>
      </c>
      <c r="Y23" s="50">
        <f t="shared" si="12"/>
        <v>54741.967975398555</v>
      </c>
      <c r="Z23" s="50">
        <f t="shared" si="13"/>
        <v>9548.2672467497905</v>
      </c>
      <c r="AB23" s="102"/>
    </row>
    <row r="24" spans="1:114" s="1" customFormat="1" x14ac:dyDescent="0.25">
      <c r="B24" s="137" t="s">
        <v>44</v>
      </c>
      <c r="C24" s="139"/>
      <c r="D24" s="139">
        <v>32630</v>
      </c>
      <c r="E24" s="139"/>
      <c r="F24" s="139">
        <v>4200</v>
      </c>
      <c r="G24" s="139">
        <v>100</v>
      </c>
      <c r="H24" s="139">
        <v>150</v>
      </c>
      <c r="I24" s="139"/>
      <c r="J24" s="139"/>
      <c r="K24" s="139">
        <f>+U24*V37</f>
        <v>475.02522815063435</v>
      </c>
      <c r="L24" s="139"/>
      <c r="M24" s="139"/>
      <c r="N24" s="139"/>
      <c r="O24" s="139">
        <f>6700000/AC3</f>
        <v>7570.6214689265535</v>
      </c>
      <c r="P24" s="165">
        <f t="shared" ref="P24:P26" si="16">SUM(D24:O24)</f>
        <v>45125.646697077187</v>
      </c>
      <c r="Q24" s="166">
        <f t="shared" si="9"/>
        <v>39936197.326913312</v>
      </c>
      <c r="R24" s="11"/>
      <c r="S24" s="101">
        <f t="shared" si="10"/>
        <v>0.24002947173546782</v>
      </c>
      <c r="T24" s="85">
        <f t="shared" si="11"/>
        <v>52549665.864163928</v>
      </c>
      <c r="U24" s="42">
        <v>59378.153518829291</v>
      </c>
      <c r="V24" s="90">
        <f t="shared" si="15"/>
        <v>0.17394507797333458</v>
      </c>
      <c r="W24" s="90">
        <v>0.08</v>
      </c>
      <c r="X24" s="50">
        <v>400000</v>
      </c>
      <c r="Y24" s="50">
        <f t="shared" si="12"/>
        <v>54627.901237322949</v>
      </c>
      <c r="Z24" s="50">
        <f t="shared" si="13"/>
        <v>9502.2545402457617</v>
      </c>
      <c r="AB24" s="103"/>
    </row>
    <row r="25" spans="1:114" s="1" customFormat="1" x14ac:dyDescent="0.25">
      <c r="B25" s="137" t="s">
        <v>45</v>
      </c>
      <c r="C25" s="139"/>
      <c r="D25" s="139">
        <v>32630</v>
      </c>
      <c r="E25" s="139"/>
      <c r="F25" s="139">
        <v>4200</v>
      </c>
      <c r="G25" s="139">
        <v>100</v>
      </c>
      <c r="H25" s="139">
        <v>150</v>
      </c>
      <c r="I25" s="139"/>
      <c r="J25" s="139"/>
      <c r="K25" s="139">
        <f>+U25*V37</f>
        <v>479.01252800749717</v>
      </c>
      <c r="L25" s="139"/>
      <c r="M25" s="139"/>
      <c r="N25" s="139"/>
      <c r="O25" s="139">
        <f>7030000/AC3</f>
        <v>7943.5028248587569</v>
      </c>
      <c r="P25" s="165">
        <f t="shared" si="16"/>
        <v>45502.515352866256</v>
      </c>
      <c r="Q25" s="166">
        <f t="shared" si="9"/>
        <v>40269726.087286636</v>
      </c>
      <c r="R25" s="11"/>
      <c r="S25" s="101">
        <f t="shared" si="10"/>
        <v>0.24006137305612874</v>
      </c>
      <c r="T25" s="85">
        <f t="shared" si="11"/>
        <v>52990760.910829373</v>
      </c>
      <c r="U25" s="42">
        <v>59876.566000937142</v>
      </c>
      <c r="V25" s="90">
        <f>Z25/Y25</f>
        <v>0.17397975332187907</v>
      </c>
      <c r="W25" s="90">
        <v>0.08</v>
      </c>
      <c r="X25" s="50">
        <v>400000</v>
      </c>
      <c r="Y25" s="50">
        <f t="shared" ref="Y25" si="17">U25*(1-W25)</f>
        <v>55086.440720862171</v>
      </c>
      <c r="Z25" s="50">
        <f t="shared" si="13"/>
        <v>9583.9253679959147</v>
      </c>
      <c r="AB25" s="102"/>
    </row>
    <row r="26" spans="1:114" s="1" customFormat="1" ht="15.6" customHeight="1" x14ac:dyDescent="0.25">
      <c r="B26" s="137" t="s">
        <v>46</v>
      </c>
      <c r="C26" s="170"/>
      <c r="D26" s="139">
        <v>32630</v>
      </c>
      <c r="E26" s="139"/>
      <c r="F26" s="139">
        <v>4200</v>
      </c>
      <c r="G26" s="139">
        <v>100</v>
      </c>
      <c r="H26" s="139">
        <v>150</v>
      </c>
      <c r="I26" s="139"/>
      <c r="J26" s="139"/>
      <c r="K26" s="139">
        <f>+U26*V37</f>
        <v>535.14233393977565</v>
      </c>
      <c r="L26" s="139"/>
      <c r="M26" s="139"/>
      <c r="N26" s="139"/>
      <c r="O26" s="139">
        <f>11700000/AC3</f>
        <v>13220.338983050848</v>
      </c>
      <c r="P26" s="165">
        <f t="shared" si="16"/>
        <v>50835.481316990619</v>
      </c>
      <c r="Q26" s="166">
        <f t="shared" si="9"/>
        <v>44989400.965536699</v>
      </c>
      <c r="R26" s="11"/>
      <c r="S26" s="101">
        <f t="shared" si="10"/>
        <v>0.24004545194196361</v>
      </c>
      <c r="T26" s="85">
        <f t="shared" si="11"/>
        <v>59200120.692087673</v>
      </c>
      <c r="U26" s="42">
        <v>66892.791742471949</v>
      </c>
      <c r="V26" s="90">
        <f t="shared" si="15"/>
        <v>0.17396244776300393</v>
      </c>
      <c r="W26" s="90">
        <v>0.08</v>
      </c>
      <c r="X26" s="50">
        <v>400000</v>
      </c>
      <c r="Y26" s="50">
        <f t="shared" ref="Y26" si="18">U26*(1-W26)</f>
        <v>61541.368403074193</v>
      </c>
      <c r="Z26" s="50">
        <f t="shared" si="13"/>
        <v>10705.887086083574</v>
      </c>
      <c r="AB26" s="102"/>
    </row>
    <row r="27" spans="1:114" s="1" customFormat="1" x14ac:dyDescent="0.25">
      <c r="B27" s="68" t="s">
        <v>47</v>
      </c>
      <c r="C27" s="44" t="s">
        <v>48</v>
      </c>
      <c r="D27" s="44">
        <v>34900</v>
      </c>
      <c r="E27" s="44"/>
      <c r="F27" s="44">
        <v>4200</v>
      </c>
      <c r="G27" s="44">
        <v>100</v>
      </c>
      <c r="H27" s="44">
        <v>150</v>
      </c>
      <c r="I27" s="44"/>
      <c r="J27" s="44"/>
      <c r="K27" s="44">
        <f>+U27*V37</f>
        <v>419.023081231258</v>
      </c>
      <c r="L27" s="44"/>
      <c r="M27" s="44"/>
      <c r="N27" s="44"/>
      <c r="O27" s="44"/>
      <c r="P27" s="168">
        <f>SUM(D27:O27)</f>
        <v>39769.023081231258</v>
      </c>
      <c r="Q27" s="42">
        <f t="shared" si="9"/>
        <v>35195585.426889665</v>
      </c>
      <c r="R27" s="11"/>
      <c r="S27" s="101">
        <f t="shared" si="10"/>
        <v>0.24072873571787204</v>
      </c>
      <c r="T27" s="85">
        <f t="shared" si="11"/>
        <v>46354428.361207917</v>
      </c>
      <c r="U27" s="42">
        <v>52377.885153907249</v>
      </c>
      <c r="V27" s="90">
        <f>Z27/Y27</f>
        <v>0.17470514751942617</v>
      </c>
      <c r="W27" s="90">
        <v>0.08</v>
      </c>
      <c r="X27" s="50">
        <v>400000</v>
      </c>
      <c r="Y27" s="50">
        <f>U27*(1-W27)</f>
        <v>48187.654341594673</v>
      </c>
      <c r="Z27" s="50">
        <f t="shared" si="13"/>
        <v>8418.6312603634142</v>
      </c>
      <c r="AB27" s="103"/>
    </row>
    <row r="28" spans="1:114" s="1" customFormat="1" ht="15.6" customHeight="1" x14ac:dyDescent="0.25"/>
    <row r="29" spans="1:114" s="1" customFormat="1" ht="15.6" customHeight="1" x14ac:dyDescent="0.25">
      <c r="K29" s="1" t="s">
        <v>49</v>
      </c>
      <c r="L29" s="1" t="s">
        <v>50</v>
      </c>
    </row>
    <row r="30" spans="1:114" s="1" customFormat="1" ht="19.5" customHeight="1" x14ac:dyDescent="0.25">
      <c r="B30" s="179" t="s">
        <v>51</v>
      </c>
      <c r="S30" s="31"/>
      <c r="Z30" s="2"/>
      <c r="AE30" s="43"/>
    </row>
    <row r="31" spans="1:114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9"/>
      <c r="P31" s="1"/>
      <c r="Q31" s="1"/>
      <c r="S31" s="31"/>
      <c r="T31" s="1"/>
      <c r="U31" s="1"/>
      <c r="V31" s="1"/>
      <c r="W31" s="1"/>
      <c r="X31" s="1"/>
      <c r="Y31" s="1"/>
      <c r="Z31" s="1"/>
      <c r="AA31" s="1"/>
      <c r="AB31" s="1"/>
    </row>
    <row r="32" spans="1:114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9"/>
      <c r="P32" s="1"/>
      <c r="Q32" s="1"/>
      <c r="S32" s="31"/>
      <c r="T32" s="1"/>
      <c r="U32" s="1" t="s">
        <v>52</v>
      </c>
      <c r="V32" s="1"/>
      <c r="W32" s="1"/>
      <c r="X32" s="1"/>
      <c r="Y32" s="1"/>
      <c r="Z32" s="1"/>
      <c r="AA32" s="1"/>
      <c r="AB32" s="1"/>
    </row>
    <row r="33" spans="2:3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9"/>
      <c r="P33" s="1"/>
      <c r="Q33" s="1"/>
      <c r="S33" s="31"/>
      <c r="T33" s="1"/>
      <c r="U33" s="1"/>
      <c r="V33" s="1"/>
      <c r="W33" s="1"/>
      <c r="X33" s="1"/>
      <c r="Y33" s="1"/>
      <c r="Z33" s="1"/>
      <c r="AA33" s="1"/>
      <c r="AB33" s="1"/>
    </row>
    <row r="34" spans="2:3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9"/>
      <c r="P34" s="1"/>
      <c r="Q34" s="1"/>
      <c r="S34" s="31"/>
      <c r="T34" s="1"/>
      <c r="U34" s="1"/>
      <c r="V34" s="1"/>
      <c r="W34" s="1"/>
      <c r="X34" s="1"/>
      <c r="Y34" s="1"/>
      <c r="Z34" s="1"/>
      <c r="AA34" s="1"/>
      <c r="AB34" s="1"/>
    </row>
    <row r="35" spans="2:31" s="1" customFormat="1" ht="15" customHeight="1" x14ac:dyDescent="0.25">
      <c r="B35" s="125"/>
      <c r="C35" s="126"/>
      <c r="D35" s="127"/>
      <c r="E35" s="12"/>
      <c r="F35" s="12"/>
      <c r="G35" s="12"/>
      <c r="H35" s="12"/>
      <c r="I35" s="12"/>
      <c r="J35" s="12"/>
      <c r="K35" s="12"/>
      <c r="L35" s="12"/>
      <c r="M35" s="12"/>
      <c r="N35" s="123"/>
      <c r="O35" s="123"/>
      <c r="P35" s="15"/>
      <c r="Q35" s="124"/>
      <c r="R35" s="112"/>
      <c r="S35" s="128"/>
      <c r="T35" s="129"/>
      <c r="U35" s="174"/>
      <c r="V35" s="218" t="s">
        <v>53</v>
      </c>
      <c r="W35" s="218"/>
      <c r="X35" s="128"/>
      <c r="Y35" s="128"/>
      <c r="Z35" s="124"/>
      <c r="AB35" s="133"/>
      <c r="AC35" s="2"/>
      <c r="AE35" s="43"/>
    </row>
    <row r="36" spans="2:31" s="1" customFormat="1" ht="30" x14ac:dyDescent="0.25">
      <c r="B36" s="125"/>
      <c r="C36" s="126"/>
      <c r="D36" s="127"/>
      <c r="E36" s="12"/>
      <c r="F36" s="12"/>
      <c r="G36" s="12"/>
      <c r="H36" s="12"/>
      <c r="I36" s="12"/>
      <c r="J36" s="12"/>
      <c r="K36" s="12"/>
      <c r="L36" s="12"/>
      <c r="M36" s="12"/>
      <c r="N36" s="123"/>
      <c r="O36" s="123"/>
      <c r="P36" s="15"/>
      <c r="Q36" s="124"/>
      <c r="R36" s="112"/>
      <c r="S36" s="128"/>
      <c r="T36" s="129"/>
      <c r="U36" s="175" t="s">
        <v>54</v>
      </c>
      <c r="V36" s="175" t="s">
        <v>55</v>
      </c>
      <c r="W36" s="175" t="s">
        <v>56</v>
      </c>
      <c r="X36" s="128"/>
      <c r="Y36" s="128"/>
      <c r="Z36" s="124"/>
      <c r="AB36" s="133"/>
      <c r="AC36" s="2"/>
      <c r="AE36" s="43"/>
    </row>
    <row r="37" spans="2:31" s="1" customFormat="1" x14ac:dyDescent="0.25">
      <c r="B37" s="125"/>
      <c r="C37" s="126"/>
      <c r="D37" s="127"/>
      <c r="E37" s="12"/>
      <c r="F37" s="12"/>
      <c r="G37" s="12"/>
      <c r="H37" s="12"/>
      <c r="I37" s="12"/>
      <c r="J37" s="12"/>
      <c r="K37" s="12"/>
      <c r="L37" s="12"/>
      <c r="M37" s="12"/>
      <c r="N37" s="123"/>
      <c r="O37" s="123"/>
      <c r="P37" s="15"/>
      <c r="Q37" s="124"/>
      <c r="R37" s="112"/>
      <c r="S37" s="128"/>
      <c r="T37" s="129"/>
      <c r="U37" s="175" t="s">
        <v>57</v>
      </c>
      <c r="V37" s="174">
        <v>8.0000000000000002E-3</v>
      </c>
      <c r="W37" s="174">
        <v>8.0000000000000002E-3</v>
      </c>
      <c r="X37" s="128"/>
      <c r="Y37" s="128"/>
      <c r="Z37" s="124"/>
      <c r="AB37" s="133"/>
      <c r="AC37" s="2"/>
      <c r="AE37" s="43"/>
    </row>
    <row r="38" spans="2:31" s="1" customFormat="1" x14ac:dyDescent="0.25">
      <c r="B38" s="125"/>
      <c r="C38" s="126"/>
      <c r="D38" s="127"/>
      <c r="E38" s="12"/>
      <c r="F38" s="12"/>
      <c r="G38" s="12"/>
      <c r="H38" s="12"/>
      <c r="I38" s="12"/>
      <c r="J38" s="12"/>
      <c r="K38" s="12"/>
      <c r="L38" s="12"/>
      <c r="M38" s="12"/>
      <c r="N38" s="123"/>
      <c r="O38" s="123"/>
      <c r="P38" s="15"/>
      <c r="Q38" s="124"/>
      <c r="R38" s="112"/>
      <c r="S38" s="128"/>
      <c r="T38" s="129"/>
      <c r="U38" s="175" t="s">
        <v>58</v>
      </c>
      <c r="V38" s="174">
        <v>7.0000000000000001E-3</v>
      </c>
      <c r="W38" s="174">
        <v>7.0000000000000001E-3</v>
      </c>
      <c r="X38" s="128"/>
      <c r="Y38" s="128"/>
      <c r="Z38" s="124"/>
      <c r="AB38" s="133"/>
      <c r="AC38" s="2"/>
      <c r="AE38" s="43"/>
    </row>
    <row r="39" spans="2:31" s="1" customFormat="1" x14ac:dyDescent="0.25">
      <c r="B39" s="125"/>
      <c r="C39" s="126"/>
      <c r="D39" s="127"/>
      <c r="E39" s="12"/>
      <c r="F39" s="12"/>
      <c r="G39" s="12"/>
      <c r="H39" s="12"/>
      <c r="I39" s="12"/>
      <c r="J39" s="12"/>
      <c r="K39" s="12"/>
      <c r="L39" s="12"/>
      <c r="M39" s="12"/>
      <c r="N39" s="123"/>
      <c r="O39" s="123"/>
      <c r="P39" s="15"/>
      <c r="Q39" s="124"/>
      <c r="R39" s="112"/>
      <c r="S39" s="128"/>
      <c r="T39" s="129"/>
      <c r="U39" s="175" t="s">
        <v>59</v>
      </c>
      <c r="V39" s="174">
        <v>5.0000000000000001E-3</v>
      </c>
      <c r="W39" s="174">
        <v>5.0000000000000001E-3</v>
      </c>
      <c r="X39" s="128"/>
      <c r="Y39" s="128"/>
      <c r="Z39" s="124"/>
      <c r="AB39" s="133"/>
      <c r="AC39" s="2"/>
      <c r="AE39" s="43"/>
    </row>
    <row r="40" spans="2:31" s="1" customFormat="1" x14ac:dyDescent="0.25">
      <c r="O40" s="19"/>
      <c r="S40" s="31"/>
      <c r="U40" s="175" t="s">
        <v>60</v>
      </c>
      <c r="V40" s="174">
        <v>4.4999999999999997E-3</v>
      </c>
      <c r="W40" s="174">
        <v>4.4999999999999997E-3</v>
      </c>
      <c r="AE40" s="43"/>
    </row>
    <row r="41" spans="2:31" s="1" customFormat="1" x14ac:dyDescent="0.25">
      <c r="O41" s="19"/>
      <c r="S41" s="31"/>
      <c r="AE41" s="43"/>
    </row>
    <row r="42" spans="2:31" s="1" customFormat="1" x14ac:dyDescent="0.25">
      <c r="O42" s="19"/>
      <c r="S42" s="31"/>
      <c r="AE42" s="43"/>
    </row>
    <row r="43" spans="2:31" s="1" customFormat="1" x14ac:dyDescent="0.25">
      <c r="O43" s="19"/>
      <c r="S43" s="31"/>
      <c r="AE43" s="43"/>
    </row>
    <row r="44" spans="2:31" s="1" customFormat="1" x14ac:dyDescent="0.25">
      <c r="O44" s="19"/>
      <c r="S44" s="31"/>
      <c r="AE44" s="43"/>
    </row>
    <row r="45" spans="2:31" s="1" customFormat="1" x14ac:dyDescent="0.25">
      <c r="O45" s="19"/>
      <c r="S45" s="31"/>
      <c r="AE45" s="43"/>
    </row>
    <row r="46" spans="2:31" s="1" customFormat="1" x14ac:dyDescent="0.25">
      <c r="O46" s="19"/>
      <c r="S46" s="31"/>
      <c r="AE46" s="43"/>
    </row>
    <row r="47" spans="2:31" s="1" customFormat="1" x14ac:dyDescent="0.25">
      <c r="O47" s="19"/>
      <c r="S47" s="31"/>
      <c r="AE47" s="43"/>
    </row>
    <row r="48" spans="2:31" s="1" customFormat="1" x14ac:dyDescent="0.25">
      <c r="O48" s="19"/>
      <c r="S48" s="31"/>
      <c r="AE48" s="43"/>
    </row>
    <row r="49" spans="2:31" s="1" customFormat="1" x14ac:dyDescent="0.25">
      <c r="O49" s="19"/>
      <c r="S49" s="31"/>
      <c r="AE49" s="43"/>
    </row>
    <row r="50" spans="2:31" s="1" customFormat="1" x14ac:dyDescent="0.25">
      <c r="O50" s="19"/>
      <c r="S50" s="31"/>
      <c r="AE50" s="43"/>
    </row>
    <row r="51" spans="2:31" s="1" customFormat="1" x14ac:dyDescent="0.25">
      <c r="O51" s="19"/>
      <c r="S51" s="31"/>
      <c r="AE51" s="43"/>
    </row>
    <row r="52" spans="2:31" s="1" customFormat="1" x14ac:dyDescent="0.25">
      <c r="O52" s="19"/>
      <c r="S52" s="31"/>
      <c r="AE52" s="43"/>
    </row>
    <row r="53" spans="2:31" s="1" customFormat="1" x14ac:dyDescent="0.25">
      <c r="O53" s="19"/>
      <c r="S53" s="31"/>
      <c r="AE53" s="43"/>
    </row>
    <row r="54" spans="2:31" s="1" customFormat="1" x14ac:dyDescent="0.25">
      <c r="O54" s="19"/>
      <c r="S54" s="31"/>
      <c r="AE54" s="43"/>
    </row>
    <row r="55" spans="2:31" s="1" customFormat="1" x14ac:dyDescent="0.25">
      <c r="B55" s="179" t="s">
        <v>61</v>
      </c>
      <c r="O55" s="19"/>
      <c r="S55" s="31"/>
      <c r="AE55" s="43"/>
    </row>
    <row r="56" spans="2:31" s="1" customFormat="1" x14ac:dyDescent="0.25">
      <c r="O56" s="19"/>
      <c r="S56" s="31"/>
      <c r="AE56" s="43"/>
    </row>
    <row r="57" spans="2:31" s="1" customFormat="1" x14ac:dyDescent="0.25">
      <c r="O57" s="19"/>
      <c r="S57" s="31"/>
      <c r="AE57" s="43"/>
    </row>
    <row r="58" spans="2:31" s="1" customFormat="1" x14ac:dyDescent="0.25">
      <c r="O58" s="19"/>
      <c r="S58" s="31"/>
      <c r="AE58" s="43"/>
    </row>
    <row r="59" spans="2:31" s="1" customFormat="1" x14ac:dyDescent="0.25">
      <c r="O59" s="19"/>
      <c r="S59" s="31"/>
      <c r="AE59" s="43"/>
    </row>
    <row r="60" spans="2:31" s="1" customFormat="1" x14ac:dyDescent="0.25">
      <c r="O60" s="19"/>
      <c r="S60" s="31"/>
      <c r="AE60" s="43"/>
    </row>
    <row r="61" spans="2:31" s="1" customFormat="1" x14ac:dyDescent="0.25">
      <c r="O61" s="19"/>
      <c r="S61" s="31"/>
      <c r="AE61" s="43"/>
    </row>
    <row r="62" spans="2:31" s="1" customFormat="1" x14ac:dyDescent="0.25">
      <c r="O62" s="19"/>
      <c r="S62" s="31"/>
      <c r="AE62" s="43"/>
    </row>
    <row r="63" spans="2:31" s="1" customFormat="1" x14ac:dyDescent="0.25">
      <c r="O63" s="19"/>
      <c r="S63" s="31"/>
      <c r="AE63" s="43"/>
    </row>
    <row r="64" spans="2:31" s="1" customFormat="1" x14ac:dyDescent="0.25">
      <c r="O64" s="19"/>
      <c r="S64" s="31"/>
      <c r="AE64" s="43"/>
    </row>
    <row r="65" spans="15:31" s="1" customFormat="1" x14ac:dyDescent="0.25">
      <c r="O65" s="19"/>
      <c r="S65" s="31"/>
      <c r="AE65" s="43"/>
    </row>
    <row r="66" spans="15:31" s="1" customFormat="1" x14ac:dyDescent="0.25">
      <c r="O66" s="19"/>
      <c r="S66" s="31"/>
      <c r="AE66" s="43"/>
    </row>
    <row r="67" spans="15:31" s="1" customFormat="1" x14ac:dyDescent="0.25">
      <c r="O67" s="19"/>
      <c r="S67" s="31"/>
      <c r="AE67" s="43"/>
    </row>
    <row r="68" spans="15:31" s="1" customFormat="1" x14ac:dyDescent="0.25">
      <c r="O68" s="19"/>
      <c r="S68" s="31"/>
      <c r="AE68" s="43"/>
    </row>
    <row r="69" spans="15:31" s="1" customFormat="1" x14ac:dyDescent="0.25">
      <c r="O69" s="19"/>
      <c r="S69" s="31"/>
      <c r="AE69" s="43"/>
    </row>
    <row r="70" spans="15:31" s="1" customFormat="1" x14ac:dyDescent="0.25">
      <c r="O70" s="19"/>
      <c r="S70" s="31"/>
      <c r="AE70" s="43"/>
    </row>
    <row r="71" spans="15:31" s="1" customFormat="1" x14ac:dyDescent="0.25">
      <c r="O71" s="19"/>
      <c r="S71" s="31"/>
      <c r="AE71" s="43"/>
    </row>
    <row r="72" spans="15:31" s="1" customFormat="1" x14ac:dyDescent="0.25">
      <c r="O72" s="19"/>
      <c r="S72" s="31"/>
      <c r="AE72" s="43"/>
    </row>
    <row r="73" spans="15:31" s="1" customFormat="1" x14ac:dyDescent="0.25">
      <c r="O73" s="19"/>
      <c r="S73" s="31"/>
      <c r="AE73" s="43"/>
    </row>
    <row r="74" spans="15:31" s="1" customFormat="1" x14ac:dyDescent="0.25">
      <c r="O74" s="19"/>
      <c r="S74" s="31"/>
      <c r="AE74" s="43"/>
    </row>
    <row r="75" spans="15:31" s="1" customFormat="1" x14ac:dyDescent="0.25">
      <c r="O75" s="19"/>
      <c r="S75" s="31"/>
      <c r="AE75" s="43"/>
    </row>
    <row r="76" spans="15:31" s="1" customFormat="1" x14ac:dyDescent="0.25">
      <c r="O76" s="19"/>
      <c r="S76" s="31"/>
      <c r="AE76" s="43"/>
    </row>
    <row r="77" spans="15:31" s="1" customFormat="1" x14ac:dyDescent="0.25">
      <c r="O77" s="19"/>
      <c r="S77" s="31"/>
      <c r="AE77" s="43"/>
    </row>
    <row r="78" spans="15:31" s="1" customFormat="1" x14ac:dyDescent="0.25">
      <c r="O78" s="19"/>
      <c r="S78" s="31"/>
      <c r="AE78" s="43"/>
    </row>
    <row r="79" spans="15:31" s="1" customFormat="1" x14ac:dyDescent="0.25">
      <c r="O79" s="19"/>
      <c r="S79" s="31"/>
      <c r="AE79" s="43"/>
    </row>
    <row r="80" spans="15:31" s="1" customFormat="1" x14ac:dyDescent="0.25">
      <c r="O80" s="19"/>
      <c r="S80" s="31"/>
      <c r="AE80" s="43"/>
    </row>
    <row r="81" spans="15:31" s="1" customFormat="1" x14ac:dyDescent="0.25">
      <c r="O81" s="19"/>
      <c r="S81" s="31"/>
      <c r="AE81" s="43"/>
    </row>
    <row r="82" spans="15:31" s="1" customFormat="1" x14ac:dyDescent="0.25">
      <c r="O82" s="19"/>
      <c r="S82" s="31"/>
      <c r="AE82" s="43"/>
    </row>
    <row r="83" spans="15:31" s="1" customFormat="1" x14ac:dyDescent="0.25">
      <c r="O83" s="19"/>
      <c r="S83" s="31"/>
      <c r="AE83" s="43"/>
    </row>
    <row r="84" spans="15:31" s="1" customFormat="1" x14ac:dyDescent="0.25">
      <c r="O84" s="19"/>
      <c r="S84" s="31"/>
      <c r="AE84" s="43"/>
    </row>
    <row r="85" spans="15:31" s="1" customFormat="1" x14ac:dyDescent="0.25">
      <c r="O85" s="19"/>
      <c r="S85" s="31"/>
      <c r="AE85" s="43"/>
    </row>
    <row r="86" spans="15:31" s="1" customFormat="1" x14ac:dyDescent="0.25">
      <c r="O86" s="19"/>
      <c r="S86" s="31"/>
      <c r="AE86" s="43"/>
    </row>
    <row r="87" spans="15:31" s="1" customFormat="1" x14ac:dyDescent="0.25">
      <c r="O87" s="19"/>
      <c r="S87" s="31"/>
      <c r="AE87" s="43"/>
    </row>
    <row r="88" spans="15:31" s="1" customFormat="1" x14ac:dyDescent="0.25">
      <c r="O88" s="19"/>
      <c r="S88" s="31"/>
      <c r="AE88" s="43"/>
    </row>
    <row r="89" spans="15:31" s="1" customFormat="1" x14ac:dyDescent="0.25">
      <c r="O89" s="19"/>
      <c r="S89" s="31"/>
      <c r="AE89" s="43"/>
    </row>
    <row r="90" spans="15:31" s="1" customFormat="1" x14ac:dyDescent="0.25">
      <c r="O90" s="19"/>
      <c r="S90" s="31"/>
      <c r="AE90" s="43"/>
    </row>
    <row r="91" spans="15:31" s="1" customFormat="1" x14ac:dyDescent="0.25">
      <c r="O91" s="19"/>
      <c r="S91" s="31"/>
      <c r="AE91" s="43"/>
    </row>
    <row r="92" spans="15:31" s="1" customFormat="1" x14ac:dyDescent="0.25">
      <c r="O92" s="19"/>
      <c r="S92" s="31"/>
      <c r="AE92" s="43"/>
    </row>
    <row r="93" spans="15:31" s="1" customFormat="1" x14ac:dyDescent="0.25">
      <c r="O93" s="19"/>
      <c r="S93" s="31"/>
      <c r="AE93" s="43"/>
    </row>
    <row r="94" spans="15:31" s="1" customFormat="1" x14ac:dyDescent="0.25">
      <c r="O94" s="19"/>
      <c r="S94" s="31"/>
      <c r="AE94" s="43"/>
    </row>
    <row r="95" spans="15:31" s="1" customFormat="1" x14ac:dyDescent="0.25">
      <c r="O95" s="19"/>
      <c r="S95" s="31"/>
      <c r="AE95" s="43"/>
    </row>
    <row r="96" spans="15:31" s="1" customFormat="1" x14ac:dyDescent="0.25">
      <c r="O96" s="19"/>
      <c r="S96" s="31"/>
      <c r="AE96" s="43"/>
    </row>
    <row r="97" spans="4:31" s="1" customFormat="1" x14ac:dyDescent="0.25">
      <c r="O97" s="19"/>
      <c r="S97" s="31"/>
      <c r="AE97" s="43"/>
    </row>
    <row r="98" spans="4:31" s="1" customFormat="1" x14ac:dyDescent="0.25">
      <c r="O98" s="19"/>
      <c r="S98" s="31"/>
      <c r="AE98" s="43"/>
    </row>
    <row r="99" spans="4:31" s="1" customFormat="1" x14ac:dyDescent="0.25">
      <c r="O99" s="19"/>
      <c r="S99" s="31"/>
      <c r="AE99" s="43"/>
    </row>
    <row r="100" spans="4:31" s="1" customFormat="1" x14ac:dyDescent="0.25">
      <c r="O100" s="19"/>
      <c r="S100" s="31"/>
      <c r="AE100" s="43"/>
    </row>
    <row r="101" spans="4:31" s="1" customFormat="1" x14ac:dyDescent="0.25">
      <c r="O101" s="19"/>
      <c r="S101" s="31"/>
      <c r="AE101" s="43"/>
    </row>
    <row r="102" spans="4:31" s="1" customFormat="1" x14ac:dyDescent="0.25">
      <c r="O102" s="19"/>
      <c r="S102" s="31"/>
      <c r="AE102" s="43"/>
    </row>
    <row r="103" spans="4:31" s="1" customFormat="1" x14ac:dyDescent="0.25">
      <c r="O103" s="19"/>
      <c r="S103" s="31"/>
      <c r="AE103" s="43"/>
    </row>
    <row r="104" spans="4:31" s="1" customFormat="1" x14ac:dyDescent="0.25">
      <c r="O104" s="19"/>
      <c r="S104" s="31"/>
      <c r="AE104" s="43"/>
    </row>
    <row r="105" spans="4:31" s="1" customFormat="1" x14ac:dyDescent="0.25">
      <c r="D105" s="47"/>
      <c r="O105" s="19"/>
      <c r="S105" s="31"/>
      <c r="AE105" s="43"/>
    </row>
    <row r="106" spans="4:31" s="1" customFormat="1" x14ac:dyDescent="0.25">
      <c r="O106" s="19"/>
      <c r="S106" s="31"/>
      <c r="AE106" s="43"/>
    </row>
    <row r="107" spans="4:31" s="1" customFormat="1" x14ac:dyDescent="0.25">
      <c r="D107" s="47"/>
      <c r="O107" s="19"/>
      <c r="S107" s="31"/>
      <c r="AE107" s="43"/>
    </row>
    <row r="108" spans="4:31" s="1" customFormat="1" x14ac:dyDescent="0.25">
      <c r="O108" s="19"/>
      <c r="S108" s="31"/>
      <c r="AE108" s="43"/>
    </row>
    <row r="109" spans="4:31" s="1" customFormat="1" x14ac:dyDescent="0.25">
      <c r="D109" s="47"/>
      <c r="O109" s="19"/>
      <c r="S109" s="31"/>
      <c r="AE109" s="43"/>
    </row>
    <row r="110" spans="4:31" s="1" customFormat="1" x14ac:dyDescent="0.25">
      <c r="O110" s="19"/>
      <c r="S110" s="31"/>
      <c r="AE110" s="43"/>
    </row>
    <row r="111" spans="4:31" s="1" customFormat="1" x14ac:dyDescent="0.25">
      <c r="D111" s="47"/>
      <c r="O111" s="19"/>
      <c r="S111" s="31"/>
      <c r="AE111" s="43"/>
    </row>
    <row r="112" spans="4:31" s="1" customFormat="1" x14ac:dyDescent="0.25">
      <c r="O112" s="19"/>
      <c r="S112" s="31"/>
      <c r="AE112" s="43"/>
    </row>
    <row r="113" spans="4:31" s="1" customFormat="1" x14ac:dyDescent="0.25">
      <c r="D113" s="47"/>
      <c r="O113" s="19"/>
      <c r="S113" s="31"/>
      <c r="AE113" s="43"/>
    </row>
    <row r="114" spans="4:31" s="1" customFormat="1" x14ac:dyDescent="0.25">
      <c r="O114" s="19"/>
      <c r="S114" s="31"/>
      <c r="AE114" s="43"/>
    </row>
    <row r="115" spans="4:31" s="1" customFormat="1" x14ac:dyDescent="0.25">
      <c r="D115" s="47"/>
      <c r="O115" s="19"/>
      <c r="S115" s="31"/>
      <c r="AE115" s="43"/>
    </row>
    <row r="116" spans="4:31" s="1" customFormat="1" x14ac:dyDescent="0.25">
      <c r="O116" s="19"/>
      <c r="S116" s="31"/>
      <c r="AE116" s="43"/>
    </row>
    <row r="117" spans="4:31" s="1" customFormat="1" x14ac:dyDescent="0.25">
      <c r="O117" s="19"/>
      <c r="S117" s="31"/>
      <c r="AE117" s="43"/>
    </row>
    <row r="118" spans="4:31" s="1" customFormat="1" x14ac:dyDescent="0.25">
      <c r="O118" s="19"/>
      <c r="S118" s="31"/>
      <c r="AE118" s="43"/>
    </row>
    <row r="119" spans="4:31" s="1" customFormat="1" x14ac:dyDescent="0.25">
      <c r="O119" s="19"/>
      <c r="S119" s="31"/>
      <c r="AE119" s="43"/>
    </row>
    <row r="120" spans="4:31" s="1" customFormat="1" x14ac:dyDescent="0.25">
      <c r="O120" s="19"/>
      <c r="S120" s="31"/>
      <c r="AE120" s="43"/>
    </row>
    <row r="121" spans="4:31" s="1" customFormat="1" x14ac:dyDescent="0.25">
      <c r="O121" s="19"/>
      <c r="S121" s="31"/>
      <c r="AE121" s="43"/>
    </row>
    <row r="122" spans="4:31" s="1" customFormat="1" x14ac:dyDescent="0.25">
      <c r="O122" s="19"/>
      <c r="S122" s="31"/>
      <c r="AE122" s="43"/>
    </row>
    <row r="123" spans="4:31" s="1" customFormat="1" x14ac:dyDescent="0.25">
      <c r="O123" s="19"/>
      <c r="S123" s="31"/>
      <c r="AE123" s="43"/>
    </row>
    <row r="124" spans="4:31" s="1" customFormat="1" x14ac:dyDescent="0.25">
      <c r="O124" s="19"/>
      <c r="S124" s="31"/>
      <c r="AE124" s="43"/>
    </row>
    <row r="125" spans="4:31" s="1" customFormat="1" x14ac:dyDescent="0.25">
      <c r="O125" s="19"/>
      <c r="S125" s="31"/>
      <c r="AE125" s="43"/>
    </row>
    <row r="126" spans="4:31" s="1" customFormat="1" x14ac:dyDescent="0.25">
      <c r="O126" s="19"/>
      <c r="S126" s="31"/>
      <c r="AE126" s="43"/>
    </row>
    <row r="127" spans="4:31" s="1" customFormat="1" x14ac:dyDescent="0.25">
      <c r="O127" s="19"/>
      <c r="S127" s="31"/>
      <c r="AE127" s="43"/>
    </row>
    <row r="128" spans="4:31" s="1" customFormat="1" x14ac:dyDescent="0.25">
      <c r="O128" s="19"/>
      <c r="S128" s="31"/>
      <c r="AE128" s="43"/>
    </row>
    <row r="129" spans="15:31" s="1" customFormat="1" x14ac:dyDescent="0.25">
      <c r="O129" s="19"/>
      <c r="S129" s="31"/>
      <c r="AE129" s="43"/>
    </row>
    <row r="130" spans="15:31" s="1" customFormat="1" x14ac:dyDescent="0.25">
      <c r="O130" s="19"/>
      <c r="S130" s="31"/>
      <c r="AE130" s="43"/>
    </row>
    <row r="131" spans="15:31" s="1" customFormat="1" x14ac:dyDescent="0.25">
      <c r="O131" s="19"/>
      <c r="S131" s="31"/>
      <c r="AE131" s="43"/>
    </row>
    <row r="132" spans="15:31" s="1" customFormat="1" x14ac:dyDescent="0.25">
      <c r="O132" s="19"/>
      <c r="S132" s="31"/>
      <c r="AE132" s="43"/>
    </row>
    <row r="133" spans="15:31" s="1" customFormat="1" x14ac:dyDescent="0.25">
      <c r="O133" s="19"/>
      <c r="S133" s="31"/>
      <c r="AE133" s="43"/>
    </row>
    <row r="134" spans="15:31" s="1" customFormat="1" x14ac:dyDescent="0.25">
      <c r="O134" s="19"/>
      <c r="S134" s="31"/>
      <c r="AE134" s="43"/>
    </row>
    <row r="135" spans="15:31" s="1" customFormat="1" x14ac:dyDescent="0.25">
      <c r="O135" s="19"/>
      <c r="S135" s="31"/>
      <c r="AE135" s="43"/>
    </row>
    <row r="136" spans="15:31" s="1" customFormat="1" x14ac:dyDescent="0.25">
      <c r="O136" s="19"/>
      <c r="S136" s="31"/>
      <c r="AE136" s="43"/>
    </row>
    <row r="137" spans="15:31" s="1" customFormat="1" x14ac:dyDescent="0.25">
      <c r="O137" s="19"/>
      <c r="S137" s="31"/>
      <c r="AE137" s="43"/>
    </row>
    <row r="138" spans="15:31" s="1" customFormat="1" x14ac:dyDescent="0.25">
      <c r="O138" s="19"/>
      <c r="S138" s="31"/>
      <c r="AE138" s="43"/>
    </row>
    <row r="139" spans="15:31" s="1" customFormat="1" x14ac:dyDescent="0.25">
      <c r="O139" s="19"/>
      <c r="S139" s="31"/>
      <c r="AE139" s="43"/>
    </row>
    <row r="140" spans="15:31" s="1" customFormat="1" x14ac:dyDescent="0.25">
      <c r="O140" s="19"/>
      <c r="S140" s="31"/>
      <c r="AE140" s="43"/>
    </row>
    <row r="141" spans="15:31" s="1" customFormat="1" x14ac:dyDescent="0.25">
      <c r="O141" s="19"/>
      <c r="S141" s="31"/>
      <c r="AE141" s="43"/>
    </row>
    <row r="142" spans="15:31" s="1" customFormat="1" x14ac:dyDescent="0.25">
      <c r="O142" s="19"/>
      <c r="S142" s="31"/>
      <c r="AE142" s="43"/>
    </row>
    <row r="143" spans="15:31" s="1" customFormat="1" x14ac:dyDescent="0.25">
      <c r="O143" s="19"/>
      <c r="S143" s="31"/>
      <c r="AE143" s="43"/>
    </row>
    <row r="144" spans="15:31" s="1" customFormat="1" x14ac:dyDescent="0.25">
      <c r="O144" s="19"/>
      <c r="S144" s="31"/>
      <c r="AE144" s="43"/>
    </row>
    <row r="145" spans="15:31" s="1" customFormat="1" x14ac:dyDescent="0.25">
      <c r="O145" s="19"/>
      <c r="S145" s="31"/>
      <c r="AE145" s="43"/>
    </row>
    <row r="146" spans="15:31" s="1" customFormat="1" x14ac:dyDescent="0.25">
      <c r="O146" s="19"/>
      <c r="S146" s="31"/>
      <c r="AE146" s="43"/>
    </row>
    <row r="147" spans="15:31" s="1" customFormat="1" x14ac:dyDescent="0.25">
      <c r="O147" s="19"/>
      <c r="S147" s="31"/>
      <c r="AE147" s="43"/>
    </row>
    <row r="148" spans="15:31" s="1" customFormat="1" x14ac:dyDescent="0.25">
      <c r="O148" s="19"/>
      <c r="S148" s="31"/>
      <c r="AE148" s="43"/>
    </row>
    <row r="149" spans="15:31" s="1" customFormat="1" x14ac:dyDescent="0.25">
      <c r="O149" s="19"/>
      <c r="S149" s="31"/>
      <c r="AE149" s="43"/>
    </row>
    <row r="150" spans="15:31" s="1" customFormat="1" x14ac:dyDescent="0.25">
      <c r="O150" s="19"/>
      <c r="S150" s="31"/>
      <c r="AE150" s="43"/>
    </row>
    <row r="151" spans="15:31" s="1" customFormat="1" x14ac:dyDescent="0.25">
      <c r="O151" s="19"/>
      <c r="S151" s="31"/>
      <c r="AE151" s="43"/>
    </row>
    <row r="152" spans="15:31" s="1" customFormat="1" x14ac:dyDescent="0.25">
      <c r="O152" s="19"/>
      <c r="S152" s="31"/>
      <c r="AE152" s="43"/>
    </row>
    <row r="153" spans="15:31" s="1" customFormat="1" x14ac:dyDescent="0.25">
      <c r="O153" s="19"/>
      <c r="S153" s="31"/>
      <c r="AE153" s="43"/>
    </row>
    <row r="154" spans="15:31" s="1" customFormat="1" x14ac:dyDescent="0.25">
      <c r="O154" s="19"/>
      <c r="S154" s="31"/>
      <c r="AE154" s="43"/>
    </row>
    <row r="155" spans="15:31" s="1" customFormat="1" x14ac:dyDescent="0.25">
      <c r="O155" s="19"/>
      <c r="S155" s="31"/>
      <c r="AE155" s="43"/>
    </row>
    <row r="156" spans="15:31" s="1" customFormat="1" x14ac:dyDescent="0.25">
      <c r="O156" s="19"/>
      <c r="S156" s="31"/>
      <c r="AE156" s="43"/>
    </row>
    <row r="157" spans="15:31" s="1" customFormat="1" x14ac:dyDescent="0.25">
      <c r="O157" s="19"/>
      <c r="S157" s="31"/>
      <c r="AE157" s="43"/>
    </row>
    <row r="158" spans="15:31" s="1" customFormat="1" x14ac:dyDescent="0.25">
      <c r="O158" s="19"/>
      <c r="S158" s="31"/>
      <c r="AE158" s="43"/>
    </row>
    <row r="159" spans="15:31" s="1" customFormat="1" x14ac:dyDescent="0.25">
      <c r="O159" s="19"/>
      <c r="S159" s="31"/>
      <c r="AE159" s="43"/>
    </row>
    <row r="160" spans="15:31" s="1" customFormat="1" x14ac:dyDescent="0.25">
      <c r="O160" s="19"/>
      <c r="S160" s="31"/>
      <c r="AE160" s="43"/>
    </row>
    <row r="161" spans="15:31" s="1" customFormat="1" x14ac:dyDescent="0.25">
      <c r="O161" s="19"/>
      <c r="S161" s="31"/>
      <c r="AE161" s="43"/>
    </row>
    <row r="162" spans="15:31" s="1" customFormat="1" x14ac:dyDescent="0.25">
      <c r="O162" s="19"/>
      <c r="S162" s="31"/>
      <c r="AE162" s="43"/>
    </row>
    <row r="163" spans="15:31" s="1" customFormat="1" x14ac:dyDescent="0.25">
      <c r="O163" s="19"/>
      <c r="S163" s="31"/>
      <c r="AE163" s="43"/>
    </row>
    <row r="164" spans="15:31" s="1" customFormat="1" x14ac:dyDescent="0.25">
      <c r="O164" s="19"/>
      <c r="S164" s="31"/>
      <c r="AE164" s="43"/>
    </row>
    <row r="165" spans="15:31" s="1" customFormat="1" x14ac:dyDescent="0.25">
      <c r="O165" s="19"/>
      <c r="S165" s="31"/>
      <c r="AE165" s="43"/>
    </row>
    <row r="166" spans="15:31" s="1" customFormat="1" x14ac:dyDescent="0.25">
      <c r="O166" s="19"/>
      <c r="S166" s="31"/>
      <c r="AE166" s="43"/>
    </row>
    <row r="167" spans="15:31" s="1" customFormat="1" x14ac:dyDescent="0.25">
      <c r="O167" s="19"/>
      <c r="S167" s="31"/>
      <c r="AE167" s="43"/>
    </row>
    <row r="168" spans="15:31" s="1" customFormat="1" x14ac:dyDescent="0.25">
      <c r="O168" s="19"/>
      <c r="S168" s="31"/>
      <c r="AE168" s="43"/>
    </row>
    <row r="169" spans="15:31" s="1" customFormat="1" x14ac:dyDescent="0.25">
      <c r="O169" s="19"/>
      <c r="S169" s="31"/>
      <c r="AE169" s="43"/>
    </row>
    <row r="170" spans="15:31" s="1" customFormat="1" x14ac:dyDescent="0.25">
      <c r="O170" s="19"/>
      <c r="S170" s="31"/>
      <c r="AE170" s="43"/>
    </row>
    <row r="171" spans="15:31" s="1" customFormat="1" x14ac:dyDescent="0.25">
      <c r="O171" s="19"/>
      <c r="S171" s="31"/>
      <c r="AE171" s="43"/>
    </row>
    <row r="172" spans="15:31" s="1" customFormat="1" x14ac:dyDescent="0.25">
      <c r="O172" s="19"/>
      <c r="S172" s="31"/>
      <c r="AE172" s="43"/>
    </row>
    <row r="173" spans="15:31" s="1" customFormat="1" x14ac:dyDescent="0.25">
      <c r="O173" s="19"/>
      <c r="S173" s="31"/>
      <c r="AE173" s="43"/>
    </row>
    <row r="174" spans="15:31" s="1" customFormat="1" x14ac:dyDescent="0.25">
      <c r="O174" s="19"/>
      <c r="S174" s="31"/>
      <c r="AE174" s="43"/>
    </row>
    <row r="175" spans="15:31" s="1" customFormat="1" x14ac:dyDescent="0.25">
      <c r="O175" s="19"/>
      <c r="S175" s="31"/>
      <c r="AE175" s="43"/>
    </row>
    <row r="176" spans="15:31" s="1" customFormat="1" x14ac:dyDescent="0.25">
      <c r="O176" s="19"/>
      <c r="S176" s="31"/>
      <c r="AE176" s="43"/>
    </row>
    <row r="177" spans="15:31" s="1" customFormat="1" x14ac:dyDescent="0.25">
      <c r="O177" s="19"/>
      <c r="S177" s="31"/>
      <c r="AE177" s="43"/>
    </row>
    <row r="178" spans="15:31" s="1" customFormat="1" x14ac:dyDescent="0.25">
      <c r="O178" s="19"/>
      <c r="S178" s="31"/>
      <c r="AE178" s="43"/>
    </row>
    <row r="179" spans="15:31" s="1" customFormat="1" x14ac:dyDescent="0.25">
      <c r="O179" s="19"/>
      <c r="S179" s="31"/>
      <c r="AE179" s="43"/>
    </row>
    <row r="180" spans="15:31" s="1" customFormat="1" x14ac:dyDescent="0.25">
      <c r="O180" s="19"/>
      <c r="S180" s="31"/>
      <c r="AE180" s="43"/>
    </row>
    <row r="181" spans="15:31" s="1" customFormat="1" x14ac:dyDescent="0.25">
      <c r="O181" s="19"/>
      <c r="S181" s="31"/>
      <c r="AE181" s="43"/>
    </row>
    <row r="182" spans="15:31" s="1" customFormat="1" x14ac:dyDescent="0.25">
      <c r="O182" s="19"/>
      <c r="S182" s="31"/>
      <c r="AE182" s="43"/>
    </row>
    <row r="183" spans="15:31" s="1" customFormat="1" x14ac:dyDescent="0.25">
      <c r="O183" s="19"/>
      <c r="S183" s="31"/>
      <c r="AE183" s="43"/>
    </row>
    <row r="184" spans="15:31" s="1" customFormat="1" x14ac:dyDescent="0.25">
      <c r="O184" s="19"/>
      <c r="S184" s="31"/>
      <c r="AE184" s="43"/>
    </row>
    <row r="185" spans="15:31" s="1" customFormat="1" x14ac:dyDescent="0.25">
      <c r="O185" s="19"/>
      <c r="S185" s="31"/>
      <c r="AE185" s="43"/>
    </row>
    <row r="186" spans="15:31" s="1" customFormat="1" x14ac:dyDescent="0.25">
      <c r="O186" s="19"/>
      <c r="S186" s="31"/>
      <c r="AE186" s="43"/>
    </row>
    <row r="187" spans="15:31" s="1" customFormat="1" x14ac:dyDescent="0.25">
      <c r="O187" s="19"/>
      <c r="S187" s="31"/>
      <c r="AE187" s="43"/>
    </row>
    <row r="188" spans="15:31" s="1" customFormat="1" x14ac:dyDescent="0.25">
      <c r="O188" s="19"/>
      <c r="S188" s="31"/>
      <c r="AE188" s="43"/>
    </row>
    <row r="189" spans="15:31" s="1" customFormat="1" x14ac:dyDescent="0.25">
      <c r="O189" s="19"/>
      <c r="S189" s="31"/>
      <c r="AE189" s="43"/>
    </row>
    <row r="190" spans="15:31" s="1" customFormat="1" x14ac:dyDescent="0.25">
      <c r="O190" s="19"/>
      <c r="S190" s="31"/>
      <c r="AE190" s="43"/>
    </row>
    <row r="191" spans="15:31" s="1" customFormat="1" x14ac:dyDescent="0.25">
      <c r="O191" s="19"/>
      <c r="S191" s="31"/>
      <c r="AE191" s="43"/>
    </row>
    <row r="192" spans="15:31" s="1" customFormat="1" x14ac:dyDescent="0.25">
      <c r="O192" s="19"/>
      <c r="S192" s="31"/>
      <c r="AE192" s="43"/>
    </row>
    <row r="193" spans="15:31" s="1" customFormat="1" x14ac:dyDescent="0.25">
      <c r="O193" s="19"/>
      <c r="S193" s="31"/>
      <c r="AE193" s="43"/>
    </row>
    <row r="194" spans="15:31" s="1" customFormat="1" x14ac:dyDescent="0.25">
      <c r="O194" s="19"/>
      <c r="S194" s="31"/>
      <c r="AE194" s="43"/>
    </row>
    <row r="195" spans="15:31" s="1" customFormat="1" x14ac:dyDescent="0.25">
      <c r="O195" s="19"/>
      <c r="S195" s="34"/>
      <c r="T195"/>
      <c r="V195"/>
      <c r="W195"/>
      <c r="X195"/>
      <c r="Y195"/>
      <c r="Z195"/>
      <c r="AB195"/>
      <c r="AE195" s="43"/>
    </row>
    <row r="196" spans="15:31" s="1" customFormat="1" x14ac:dyDescent="0.25">
      <c r="O196" s="19"/>
      <c r="S196" s="34"/>
      <c r="T196"/>
      <c r="V196"/>
      <c r="W196"/>
      <c r="X196"/>
      <c r="Y196"/>
      <c r="Z196"/>
      <c r="AB196"/>
      <c r="AE196" s="43"/>
    </row>
    <row r="197" spans="15:31" s="1" customFormat="1" x14ac:dyDescent="0.25">
      <c r="O197" s="19"/>
      <c r="S197" s="34"/>
      <c r="T197"/>
      <c r="V197"/>
      <c r="W197"/>
      <c r="X197"/>
      <c r="Y197"/>
      <c r="Z197"/>
      <c r="AB197"/>
      <c r="AE197" s="43"/>
    </row>
    <row r="198" spans="15:31" s="1" customFormat="1" x14ac:dyDescent="0.25">
      <c r="O198" s="19"/>
      <c r="S198" s="34"/>
      <c r="T198"/>
      <c r="V198"/>
      <c r="W198"/>
      <c r="X198"/>
      <c r="Y198"/>
      <c r="Z198"/>
      <c r="AB198"/>
      <c r="AE198" s="43"/>
    </row>
    <row r="199" spans="15:31" x14ac:dyDescent="0.25">
      <c r="U199" s="1"/>
    </row>
    <row r="200" spans="15:31" x14ac:dyDescent="0.25">
      <c r="U200" s="1"/>
    </row>
    <row r="201" spans="15:31" x14ac:dyDescent="0.25">
      <c r="U201" s="1"/>
    </row>
    <row r="202" spans="15:31" x14ac:dyDescent="0.25">
      <c r="U202" s="1"/>
    </row>
    <row r="203" spans="15:31" x14ac:dyDescent="0.25">
      <c r="U203" s="1"/>
    </row>
    <row r="204" spans="15:31" x14ac:dyDescent="0.25">
      <c r="U204" s="1"/>
    </row>
    <row r="205" spans="15:31" x14ac:dyDescent="0.25">
      <c r="U205" s="1"/>
    </row>
    <row r="206" spans="15:31" x14ac:dyDescent="0.25">
      <c r="U206" s="1"/>
    </row>
    <row r="207" spans="15:31" x14ac:dyDescent="0.25">
      <c r="U207" s="1"/>
    </row>
    <row r="208" spans="15:31" x14ac:dyDescent="0.25">
      <c r="U208" s="1"/>
    </row>
    <row r="209" spans="21:21" x14ac:dyDescent="0.25">
      <c r="U209" s="1"/>
    </row>
    <row r="210" spans="21:21" x14ac:dyDescent="0.25">
      <c r="U210" s="1"/>
    </row>
    <row r="211" spans="21:21" x14ac:dyDescent="0.25">
      <c r="U211" s="1"/>
    </row>
  </sheetData>
  <mergeCells count="28">
    <mergeCell ref="Y2:Y5"/>
    <mergeCell ref="Z2:Z5"/>
    <mergeCell ref="V2:V5"/>
    <mergeCell ref="AB2:AB5"/>
    <mergeCell ref="AC3:AC5"/>
    <mergeCell ref="X2:X5"/>
    <mergeCell ref="W2:W5"/>
    <mergeCell ref="T1:U1"/>
    <mergeCell ref="Q2:Q5"/>
    <mergeCell ref="S2:S5"/>
    <mergeCell ref="T2:T5"/>
    <mergeCell ref="U2:U5"/>
    <mergeCell ref="B2:B5"/>
    <mergeCell ref="C2:C5"/>
    <mergeCell ref="D2:D5"/>
    <mergeCell ref="E2:E5"/>
    <mergeCell ref="F2:F5"/>
    <mergeCell ref="V35:W35"/>
    <mergeCell ref="G2:G5"/>
    <mergeCell ref="H2:H5"/>
    <mergeCell ref="I2:I5"/>
    <mergeCell ref="J2:J5"/>
    <mergeCell ref="P2:P5"/>
    <mergeCell ref="K2:K5"/>
    <mergeCell ref="L2:L5"/>
    <mergeCell ref="M2:M5"/>
    <mergeCell ref="N2:N5"/>
    <mergeCell ref="O2:O5"/>
  </mergeCells>
  <phoneticPr fontId="11" type="noConversion"/>
  <hyperlinks>
    <hyperlink ref="B30" r:id="rId1" xr:uid="{B3234BA4-6D6C-498A-9F54-4E5469A97571}"/>
    <hyperlink ref="B55" r:id="rId2" xr:uid="{78DAFEEE-7D95-444E-A488-C400FEB73FF5}"/>
  </hyperlinks>
  <pageMargins left="0.7" right="0.7" top="0.75" bottom="0.75" header="0.3" footer="0.3"/>
  <pageSetup orientation="portrait" r:id="rId3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43DE-E2E3-4841-B058-82BB3225A5EC}">
  <dimension ref="A1:U12"/>
  <sheetViews>
    <sheetView workbookViewId="0">
      <selection activeCell="Q8" sqref="Q8"/>
    </sheetView>
  </sheetViews>
  <sheetFormatPr baseColWidth="10" defaultColWidth="11.42578125" defaultRowHeight="15" x14ac:dyDescent="0.25"/>
  <cols>
    <col min="1" max="1" width="4.28515625" customWidth="1"/>
    <col min="2" max="2" width="4.85546875" customWidth="1"/>
    <col min="3" max="3" width="37.5703125" customWidth="1"/>
    <col min="4" max="4" width="11.42578125" customWidth="1"/>
    <col min="5" max="5" width="17.5703125" customWidth="1"/>
  </cols>
  <sheetData>
    <row r="1" spans="1:21" ht="39.75" customHeight="1" x14ac:dyDescent="0.25">
      <c r="A1" s="1"/>
      <c r="B1" s="1"/>
      <c r="C1" s="1"/>
      <c r="D1" s="243" t="s">
        <v>17</v>
      </c>
      <c r="E1" s="243" t="s">
        <v>18</v>
      </c>
      <c r="F1" s="243" t="s">
        <v>62</v>
      </c>
      <c r="G1" s="243" t="s">
        <v>20</v>
      </c>
      <c r="H1" s="243" t="s">
        <v>21</v>
      </c>
      <c r="I1" s="243" t="s">
        <v>22</v>
      </c>
      <c r="J1" s="243" t="s">
        <v>23</v>
      </c>
      <c r="K1" s="243" t="s">
        <v>24</v>
      </c>
      <c r="L1" s="240" t="s">
        <v>63</v>
      </c>
      <c r="M1" s="240" t="s">
        <v>64</v>
      </c>
      <c r="N1" s="240" t="s">
        <v>65</v>
      </c>
      <c r="O1" s="240" t="s">
        <v>66</v>
      </c>
      <c r="S1" s="171" t="s">
        <v>26</v>
      </c>
    </row>
    <row r="2" spans="1:21" x14ac:dyDescent="0.25">
      <c r="A2" s="1"/>
      <c r="B2" s="1"/>
      <c r="C2" s="1"/>
      <c r="D2" s="244"/>
      <c r="E2" s="244"/>
      <c r="F2" s="244"/>
      <c r="G2" s="244"/>
      <c r="H2" s="244"/>
      <c r="I2" s="244"/>
      <c r="J2" s="244"/>
      <c r="K2" s="244"/>
      <c r="L2" s="241"/>
      <c r="M2" s="241"/>
      <c r="N2" s="241"/>
      <c r="O2" s="241"/>
      <c r="S2" s="172">
        <v>885</v>
      </c>
    </row>
    <row r="3" spans="1:21" x14ac:dyDescent="0.25">
      <c r="A3" s="1"/>
      <c r="B3" s="1"/>
      <c r="C3" s="1"/>
      <c r="D3" s="244"/>
      <c r="E3" s="244"/>
      <c r="F3" s="244"/>
      <c r="G3" s="244"/>
      <c r="H3" s="244"/>
      <c r="I3" s="244"/>
      <c r="J3" s="244"/>
      <c r="K3" s="244"/>
      <c r="L3" s="241"/>
      <c r="M3" s="241"/>
      <c r="N3" s="241"/>
      <c r="O3" s="241"/>
      <c r="S3" s="172"/>
    </row>
    <row r="4" spans="1:21" ht="15.75" thickBot="1" x14ac:dyDescent="0.3">
      <c r="A4" s="1"/>
      <c r="B4" s="1"/>
      <c r="C4" s="1"/>
      <c r="D4" s="245"/>
      <c r="E4" s="245"/>
      <c r="F4" s="245"/>
      <c r="G4" s="245"/>
      <c r="H4" s="245"/>
      <c r="I4" s="245"/>
      <c r="J4" s="245"/>
      <c r="K4" s="245"/>
      <c r="L4" s="242"/>
      <c r="M4" s="242"/>
      <c r="N4" s="242"/>
      <c r="O4" s="242"/>
      <c r="S4" s="173"/>
    </row>
    <row r="5" spans="1:21" x14ac:dyDescent="0.25">
      <c r="C5" s="136" t="s">
        <v>40</v>
      </c>
    </row>
    <row r="6" spans="1:21" ht="15.75" customHeight="1" x14ac:dyDescent="0.25">
      <c r="C6" s="137" t="s">
        <v>41</v>
      </c>
      <c r="D6" s="101">
        <v>0.23996818863339178</v>
      </c>
      <c r="E6" s="85">
        <v>64233718.933003217</v>
      </c>
      <c r="F6" s="42">
        <v>72580.473370625099</v>
      </c>
      <c r="G6" s="90">
        <v>0.17387846590586101</v>
      </c>
      <c r="H6" s="90">
        <v>0.08</v>
      </c>
      <c r="I6" s="50">
        <v>400000</v>
      </c>
      <c r="J6" s="50">
        <v>66774.035500975093</v>
      </c>
      <c r="K6" s="50">
        <v>11610.566855253026</v>
      </c>
      <c r="L6" s="176">
        <v>79990</v>
      </c>
      <c r="M6" s="177">
        <f>+(L6/F6)-1</f>
        <v>0.10208705296724752</v>
      </c>
      <c r="N6" s="176">
        <v>63049.830508474573</v>
      </c>
      <c r="O6" s="177">
        <f>+(N6/F6)-1</f>
        <v>-0.13131139023416438</v>
      </c>
    </row>
    <row r="7" spans="1:21" ht="15.75" customHeight="1" x14ac:dyDescent="0.25">
      <c r="C7" s="137" t="s">
        <v>42</v>
      </c>
      <c r="D7" s="101">
        <v>0.2399550717965378</v>
      </c>
      <c r="E7" s="85">
        <v>63114779.742465772</v>
      </c>
      <c r="F7" s="42">
        <v>71316.135302221213</v>
      </c>
      <c r="G7" s="90">
        <v>0.17386420847449771</v>
      </c>
      <c r="H7" s="90">
        <v>0.08</v>
      </c>
      <c r="I7" s="50">
        <v>400000</v>
      </c>
      <c r="J7" s="50">
        <v>65610.844478043524</v>
      </c>
      <c r="K7" s="50">
        <v>11407.377542518407</v>
      </c>
      <c r="L7" s="176">
        <v>79990</v>
      </c>
      <c r="M7" s="177">
        <f t="shared" ref="M7:M12" si="0">+(L7/F7)-1</f>
        <v>0.1216255572602325</v>
      </c>
      <c r="N7" s="176">
        <v>63049.830508474573</v>
      </c>
      <c r="O7" s="177">
        <f t="shared" ref="O7:O12" si="1">+(N7/F7)-1</f>
        <v>-0.11591072284996884</v>
      </c>
    </row>
    <row r="8" spans="1:21" x14ac:dyDescent="0.25">
      <c r="C8" s="137" t="s">
        <v>43</v>
      </c>
      <c r="D8" s="101">
        <v>0.24046931069335287</v>
      </c>
      <c r="E8" s="85">
        <v>52659393.106769256</v>
      </c>
      <c r="F8" s="42">
        <v>59502.139103694077</v>
      </c>
      <c r="G8" s="90">
        <v>0.17442316379712275</v>
      </c>
      <c r="H8" s="90">
        <v>0.08</v>
      </c>
      <c r="I8" s="50">
        <v>400000</v>
      </c>
      <c r="J8" s="50">
        <v>54741.967975398555</v>
      </c>
      <c r="K8" s="50">
        <v>9548.2672467497905</v>
      </c>
      <c r="L8" s="176">
        <v>55990</v>
      </c>
      <c r="M8" s="178" t="s">
        <v>67</v>
      </c>
      <c r="N8" s="176">
        <v>63049.830508474573</v>
      </c>
      <c r="O8" s="178" t="s">
        <v>67</v>
      </c>
      <c r="T8">
        <v>55799100</v>
      </c>
      <c r="U8">
        <f>+T8/S2</f>
        <v>63049.830508474573</v>
      </c>
    </row>
    <row r="9" spans="1:21" ht="15.75" customHeight="1" x14ac:dyDescent="0.25">
      <c r="C9" s="137" t="s">
        <v>44</v>
      </c>
      <c r="D9" s="101">
        <v>0.24002947173546782</v>
      </c>
      <c r="E9" s="85">
        <v>52549665.864163928</v>
      </c>
      <c r="F9" s="42">
        <v>59378.153518829291</v>
      </c>
      <c r="G9" s="90">
        <v>0.17394507797333458</v>
      </c>
      <c r="H9" s="90">
        <v>0.08</v>
      </c>
      <c r="I9" s="50">
        <v>400000</v>
      </c>
      <c r="J9" s="50">
        <v>54627.901237322949</v>
      </c>
      <c r="K9" s="50">
        <v>9502.2545402457617</v>
      </c>
      <c r="L9" s="176">
        <v>79990</v>
      </c>
      <c r="M9" s="177">
        <f t="shared" si="0"/>
        <v>0.34712845145369031</v>
      </c>
      <c r="N9" s="176">
        <v>63049.830508474573</v>
      </c>
      <c r="O9" s="178" t="s">
        <v>67</v>
      </c>
      <c r="T9">
        <v>40924100</v>
      </c>
      <c r="U9">
        <f>+T9/S2</f>
        <v>46241.9209039548</v>
      </c>
    </row>
    <row r="10" spans="1:21" ht="15.75" customHeight="1" x14ac:dyDescent="0.25">
      <c r="C10" s="137" t="s">
        <v>45</v>
      </c>
      <c r="D10" s="101">
        <v>0.24006137305612874</v>
      </c>
      <c r="E10" s="85">
        <v>52990760.910829373</v>
      </c>
      <c r="F10" s="42">
        <v>59876.566000937142</v>
      </c>
      <c r="G10" s="90">
        <v>0.17397975332187907</v>
      </c>
      <c r="H10" s="90">
        <v>0.08</v>
      </c>
      <c r="I10" s="50">
        <v>400000</v>
      </c>
      <c r="J10" s="50">
        <v>55086.440720862171</v>
      </c>
      <c r="K10" s="50">
        <v>9583.9253679959147</v>
      </c>
      <c r="L10" s="176">
        <v>79990</v>
      </c>
      <c r="M10" s="177">
        <f t="shared" si="0"/>
        <v>0.33591495542259486</v>
      </c>
      <c r="N10" s="176">
        <v>63049.830508474573</v>
      </c>
      <c r="O10" s="178" t="s">
        <v>67</v>
      </c>
    </row>
    <row r="11" spans="1:21" ht="15.75" customHeight="1" x14ac:dyDescent="0.25">
      <c r="C11" s="137" t="s">
        <v>46</v>
      </c>
      <c r="D11" s="101">
        <v>0.24004545194196361</v>
      </c>
      <c r="E11" s="85">
        <v>59200120.692087673</v>
      </c>
      <c r="F11" s="42">
        <v>66892.791742471949</v>
      </c>
      <c r="G11" s="90">
        <v>0.17396244776300393</v>
      </c>
      <c r="H11" s="90">
        <v>0.08</v>
      </c>
      <c r="I11" s="50">
        <v>400000</v>
      </c>
      <c r="J11" s="50">
        <v>61541.368403074193</v>
      </c>
      <c r="K11" s="50">
        <v>10705.887086083574</v>
      </c>
      <c r="L11" s="176">
        <v>59990</v>
      </c>
      <c r="M11" s="178" t="s">
        <v>67</v>
      </c>
      <c r="N11" s="176">
        <v>63049.830508474573</v>
      </c>
      <c r="O11" s="178" t="s">
        <v>67</v>
      </c>
    </row>
    <row r="12" spans="1:21" ht="15.75" customHeight="1" x14ac:dyDescent="0.25">
      <c r="C12" s="68" t="s">
        <v>47</v>
      </c>
      <c r="D12" s="101">
        <v>0.24072873571787204</v>
      </c>
      <c r="E12" s="85">
        <v>46354428.361207917</v>
      </c>
      <c r="F12" s="42">
        <v>52377.885153907249</v>
      </c>
      <c r="G12" s="90">
        <v>0.17470514751942617</v>
      </c>
      <c r="H12" s="90">
        <v>0.08</v>
      </c>
      <c r="I12" s="50">
        <v>400000</v>
      </c>
      <c r="J12" s="50">
        <v>48187.654341594673</v>
      </c>
      <c r="K12" s="50">
        <v>8418.6312603634142</v>
      </c>
      <c r="L12" s="176">
        <v>61990</v>
      </c>
      <c r="M12" s="177">
        <f t="shared" si="0"/>
        <v>0.18351475661624184</v>
      </c>
      <c r="N12" s="176">
        <v>46241.9209039548</v>
      </c>
      <c r="O12" s="177">
        <f t="shared" si="1"/>
        <v>-0.1171479954168162</v>
      </c>
    </row>
  </sheetData>
  <mergeCells count="12">
    <mergeCell ref="I1:I4"/>
    <mergeCell ref="J1:J4"/>
    <mergeCell ref="D1:D4"/>
    <mergeCell ref="E1:E4"/>
    <mergeCell ref="F1:F4"/>
    <mergeCell ref="G1:G4"/>
    <mergeCell ref="H1:H4"/>
    <mergeCell ref="L1:L4"/>
    <mergeCell ref="O1:O4"/>
    <mergeCell ref="K1:K4"/>
    <mergeCell ref="N1:N4"/>
    <mergeCell ref="M1:M4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16AD-D814-4AAB-A91F-F4EA689F46C1}">
  <dimension ref="A1:DK214"/>
  <sheetViews>
    <sheetView topLeftCell="A8" zoomScale="115" zoomScaleNormal="115" workbookViewId="0">
      <selection activeCell="A33" sqref="A33"/>
    </sheetView>
  </sheetViews>
  <sheetFormatPr baseColWidth="10" defaultColWidth="11.42578125" defaultRowHeight="15" outlineLevelCol="1" x14ac:dyDescent="0.25"/>
  <cols>
    <col min="1" max="1" width="5.85546875" style="1" customWidth="1"/>
    <col min="2" max="2" width="36" customWidth="1"/>
    <col min="3" max="3" width="21.140625" bestFit="1" customWidth="1" outlineLevel="1"/>
    <col min="4" max="4" width="15.140625" customWidth="1" outlineLevel="1"/>
    <col min="5" max="5" width="7.85546875" customWidth="1" outlineLevel="1"/>
    <col min="6" max="6" width="11.7109375" customWidth="1" outlineLevel="1"/>
    <col min="7" max="7" width="3.85546875" customWidth="1" outlineLevel="1"/>
    <col min="8" max="8" width="9.7109375" customWidth="1" outlineLevel="1"/>
    <col min="9" max="9" width="6.42578125" customWidth="1" outlineLevel="1"/>
    <col min="10" max="10" width="3.85546875" customWidth="1" outlineLevel="1"/>
    <col min="11" max="14" width="9.140625" customWidth="1" outlineLevel="1"/>
    <col min="15" max="15" width="9.140625" style="21" customWidth="1" outlineLevel="1"/>
    <col min="16" max="16" width="11.7109375" customWidth="1" outlineLevel="1"/>
    <col min="17" max="17" width="13.7109375" bestFit="1" customWidth="1" outlineLevel="1"/>
    <col min="18" max="18" width="5.5703125" style="1" customWidth="1" outlineLevel="1"/>
    <col min="19" max="19" width="16.7109375" style="34" customWidth="1"/>
    <col min="20" max="20" width="18.28515625" customWidth="1"/>
    <col min="21" max="21" width="16.28515625" style="46" bestFit="1" customWidth="1"/>
    <col min="22" max="22" width="18" customWidth="1"/>
    <col min="23" max="24" width="13.42578125" customWidth="1"/>
    <col min="25" max="25" width="18.85546875" bestFit="1" customWidth="1"/>
    <col min="26" max="26" width="16.140625" customWidth="1"/>
    <col min="28" max="28" width="16" style="1" customWidth="1"/>
    <col min="29" max="29" width="28" customWidth="1"/>
    <col min="30" max="30" width="16.140625" style="1" bestFit="1" customWidth="1"/>
    <col min="31" max="31" width="29" style="1" bestFit="1" customWidth="1"/>
    <col min="32" max="32" width="12.5703125" style="43" bestFit="1" customWidth="1"/>
    <col min="33" max="115" width="11.42578125" style="1"/>
    <col min="261" max="261" width="18.42578125" customWidth="1"/>
    <col min="262" max="262" width="26.42578125" customWidth="1"/>
    <col min="263" max="263" width="10.42578125" bestFit="1" customWidth="1"/>
    <col min="264" max="264" width="8.5703125" customWidth="1"/>
    <col min="265" max="265" width="6" customWidth="1"/>
    <col min="266" max="266" width="5.5703125" customWidth="1"/>
    <col min="267" max="268" width="5.42578125" customWidth="1"/>
    <col min="269" max="269" width="5.5703125" customWidth="1"/>
    <col min="270" max="270" width="6.42578125" customWidth="1"/>
    <col min="271" max="271" width="5.42578125" customWidth="1"/>
    <col min="272" max="272" width="8.42578125" customWidth="1"/>
    <col min="273" max="273" width="2.42578125" customWidth="1"/>
    <col min="274" max="274" width="8.42578125" customWidth="1"/>
    <col min="275" max="275" width="12.42578125" customWidth="1"/>
    <col min="276" max="276" width="1.5703125" customWidth="1"/>
    <col min="277" max="277" width="7.42578125" customWidth="1"/>
    <col min="278" max="278" width="8.42578125" customWidth="1"/>
    <col min="279" max="279" width="1.5703125" customWidth="1"/>
    <col min="280" max="280" width="15.42578125" customWidth="1"/>
    <col min="281" max="281" width="14.42578125" customWidth="1"/>
    <col min="282" max="282" width="14.5703125" customWidth="1"/>
    <col min="283" max="283" width="1.5703125" customWidth="1"/>
    <col min="517" max="517" width="18.42578125" customWidth="1"/>
    <col min="518" max="518" width="26.42578125" customWidth="1"/>
    <col min="519" max="519" width="10.42578125" bestFit="1" customWidth="1"/>
    <col min="520" max="520" width="8.5703125" customWidth="1"/>
    <col min="521" max="521" width="6" customWidth="1"/>
    <col min="522" max="522" width="5.5703125" customWidth="1"/>
    <col min="523" max="524" width="5.42578125" customWidth="1"/>
    <col min="525" max="525" width="5.5703125" customWidth="1"/>
    <col min="526" max="526" width="6.42578125" customWidth="1"/>
    <col min="527" max="527" width="5.42578125" customWidth="1"/>
    <col min="528" max="528" width="8.42578125" customWidth="1"/>
    <col min="529" max="529" width="2.42578125" customWidth="1"/>
    <col min="530" max="530" width="8.42578125" customWidth="1"/>
    <col min="531" max="531" width="12.42578125" customWidth="1"/>
    <col min="532" max="532" width="1.5703125" customWidth="1"/>
    <col min="533" max="533" width="7.42578125" customWidth="1"/>
    <col min="534" max="534" width="8.42578125" customWidth="1"/>
    <col min="535" max="535" width="1.5703125" customWidth="1"/>
    <col min="536" max="536" width="15.42578125" customWidth="1"/>
    <col min="537" max="537" width="14.42578125" customWidth="1"/>
    <col min="538" max="538" width="14.5703125" customWidth="1"/>
    <col min="539" max="539" width="1.5703125" customWidth="1"/>
    <col min="773" max="773" width="18.42578125" customWidth="1"/>
    <col min="774" max="774" width="26.42578125" customWidth="1"/>
    <col min="775" max="775" width="10.42578125" bestFit="1" customWidth="1"/>
    <col min="776" max="776" width="8.5703125" customWidth="1"/>
    <col min="777" max="777" width="6" customWidth="1"/>
    <col min="778" max="778" width="5.5703125" customWidth="1"/>
    <col min="779" max="780" width="5.42578125" customWidth="1"/>
    <col min="781" max="781" width="5.5703125" customWidth="1"/>
    <col min="782" max="782" width="6.42578125" customWidth="1"/>
    <col min="783" max="783" width="5.42578125" customWidth="1"/>
    <col min="784" max="784" width="8.42578125" customWidth="1"/>
    <col min="785" max="785" width="2.42578125" customWidth="1"/>
    <col min="786" max="786" width="8.42578125" customWidth="1"/>
    <col min="787" max="787" width="12.42578125" customWidth="1"/>
    <col min="788" max="788" width="1.5703125" customWidth="1"/>
    <col min="789" max="789" width="7.42578125" customWidth="1"/>
    <col min="790" max="790" width="8.42578125" customWidth="1"/>
    <col min="791" max="791" width="1.5703125" customWidth="1"/>
    <col min="792" max="792" width="15.42578125" customWidth="1"/>
    <col min="793" max="793" width="14.42578125" customWidth="1"/>
    <col min="794" max="794" width="14.5703125" customWidth="1"/>
    <col min="795" max="795" width="1.5703125" customWidth="1"/>
    <col min="1029" max="1029" width="18.42578125" customWidth="1"/>
    <col min="1030" max="1030" width="26.42578125" customWidth="1"/>
    <col min="1031" max="1031" width="10.42578125" bestFit="1" customWidth="1"/>
    <col min="1032" max="1032" width="8.5703125" customWidth="1"/>
    <col min="1033" max="1033" width="6" customWidth="1"/>
    <col min="1034" max="1034" width="5.5703125" customWidth="1"/>
    <col min="1035" max="1036" width="5.42578125" customWidth="1"/>
    <col min="1037" max="1037" width="5.5703125" customWidth="1"/>
    <col min="1038" max="1038" width="6.42578125" customWidth="1"/>
    <col min="1039" max="1039" width="5.42578125" customWidth="1"/>
    <col min="1040" max="1040" width="8.42578125" customWidth="1"/>
    <col min="1041" max="1041" width="2.42578125" customWidth="1"/>
    <col min="1042" max="1042" width="8.42578125" customWidth="1"/>
    <col min="1043" max="1043" width="12.42578125" customWidth="1"/>
    <col min="1044" max="1044" width="1.5703125" customWidth="1"/>
    <col min="1045" max="1045" width="7.42578125" customWidth="1"/>
    <col min="1046" max="1046" width="8.42578125" customWidth="1"/>
    <col min="1047" max="1047" width="1.5703125" customWidth="1"/>
    <col min="1048" max="1048" width="15.42578125" customWidth="1"/>
    <col min="1049" max="1049" width="14.42578125" customWidth="1"/>
    <col min="1050" max="1050" width="14.5703125" customWidth="1"/>
    <col min="1051" max="1051" width="1.5703125" customWidth="1"/>
    <col min="1285" max="1285" width="18.42578125" customWidth="1"/>
    <col min="1286" max="1286" width="26.42578125" customWidth="1"/>
    <col min="1287" max="1287" width="10.42578125" bestFit="1" customWidth="1"/>
    <col min="1288" max="1288" width="8.5703125" customWidth="1"/>
    <col min="1289" max="1289" width="6" customWidth="1"/>
    <col min="1290" max="1290" width="5.5703125" customWidth="1"/>
    <col min="1291" max="1292" width="5.42578125" customWidth="1"/>
    <col min="1293" max="1293" width="5.5703125" customWidth="1"/>
    <col min="1294" max="1294" width="6.42578125" customWidth="1"/>
    <col min="1295" max="1295" width="5.42578125" customWidth="1"/>
    <col min="1296" max="1296" width="8.42578125" customWidth="1"/>
    <col min="1297" max="1297" width="2.42578125" customWidth="1"/>
    <col min="1298" max="1298" width="8.42578125" customWidth="1"/>
    <col min="1299" max="1299" width="12.42578125" customWidth="1"/>
    <col min="1300" max="1300" width="1.5703125" customWidth="1"/>
    <col min="1301" max="1301" width="7.42578125" customWidth="1"/>
    <col min="1302" max="1302" width="8.42578125" customWidth="1"/>
    <col min="1303" max="1303" width="1.5703125" customWidth="1"/>
    <col min="1304" max="1304" width="15.42578125" customWidth="1"/>
    <col min="1305" max="1305" width="14.42578125" customWidth="1"/>
    <col min="1306" max="1306" width="14.5703125" customWidth="1"/>
    <col min="1307" max="1307" width="1.5703125" customWidth="1"/>
    <col min="1541" max="1541" width="18.42578125" customWidth="1"/>
    <col min="1542" max="1542" width="26.42578125" customWidth="1"/>
    <col min="1543" max="1543" width="10.42578125" bestFit="1" customWidth="1"/>
    <col min="1544" max="1544" width="8.5703125" customWidth="1"/>
    <col min="1545" max="1545" width="6" customWidth="1"/>
    <col min="1546" max="1546" width="5.5703125" customWidth="1"/>
    <col min="1547" max="1548" width="5.42578125" customWidth="1"/>
    <col min="1549" max="1549" width="5.5703125" customWidth="1"/>
    <col min="1550" max="1550" width="6.42578125" customWidth="1"/>
    <col min="1551" max="1551" width="5.42578125" customWidth="1"/>
    <col min="1552" max="1552" width="8.42578125" customWidth="1"/>
    <col min="1553" max="1553" width="2.42578125" customWidth="1"/>
    <col min="1554" max="1554" width="8.42578125" customWidth="1"/>
    <col min="1555" max="1555" width="12.42578125" customWidth="1"/>
    <col min="1556" max="1556" width="1.5703125" customWidth="1"/>
    <col min="1557" max="1557" width="7.42578125" customWidth="1"/>
    <col min="1558" max="1558" width="8.42578125" customWidth="1"/>
    <col min="1559" max="1559" width="1.5703125" customWidth="1"/>
    <col min="1560" max="1560" width="15.42578125" customWidth="1"/>
    <col min="1561" max="1561" width="14.42578125" customWidth="1"/>
    <col min="1562" max="1562" width="14.5703125" customWidth="1"/>
    <col min="1563" max="1563" width="1.5703125" customWidth="1"/>
    <col min="1797" max="1797" width="18.42578125" customWidth="1"/>
    <col min="1798" max="1798" width="26.42578125" customWidth="1"/>
    <col min="1799" max="1799" width="10.42578125" bestFit="1" customWidth="1"/>
    <col min="1800" max="1800" width="8.5703125" customWidth="1"/>
    <col min="1801" max="1801" width="6" customWidth="1"/>
    <col min="1802" max="1802" width="5.5703125" customWidth="1"/>
    <col min="1803" max="1804" width="5.42578125" customWidth="1"/>
    <col min="1805" max="1805" width="5.5703125" customWidth="1"/>
    <col min="1806" max="1806" width="6.42578125" customWidth="1"/>
    <col min="1807" max="1807" width="5.42578125" customWidth="1"/>
    <col min="1808" max="1808" width="8.42578125" customWidth="1"/>
    <col min="1809" max="1809" width="2.42578125" customWidth="1"/>
    <col min="1810" max="1810" width="8.42578125" customWidth="1"/>
    <col min="1811" max="1811" width="12.42578125" customWidth="1"/>
    <col min="1812" max="1812" width="1.5703125" customWidth="1"/>
    <col min="1813" max="1813" width="7.42578125" customWidth="1"/>
    <col min="1814" max="1814" width="8.42578125" customWidth="1"/>
    <col min="1815" max="1815" width="1.5703125" customWidth="1"/>
    <col min="1816" max="1816" width="15.42578125" customWidth="1"/>
    <col min="1817" max="1817" width="14.42578125" customWidth="1"/>
    <col min="1818" max="1818" width="14.5703125" customWidth="1"/>
    <col min="1819" max="1819" width="1.5703125" customWidth="1"/>
    <col min="2053" max="2053" width="18.42578125" customWidth="1"/>
    <col min="2054" max="2054" width="26.42578125" customWidth="1"/>
    <col min="2055" max="2055" width="10.42578125" bestFit="1" customWidth="1"/>
    <col min="2056" max="2056" width="8.5703125" customWidth="1"/>
    <col min="2057" max="2057" width="6" customWidth="1"/>
    <col min="2058" max="2058" width="5.5703125" customWidth="1"/>
    <col min="2059" max="2060" width="5.42578125" customWidth="1"/>
    <col min="2061" max="2061" width="5.5703125" customWidth="1"/>
    <col min="2062" max="2062" width="6.42578125" customWidth="1"/>
    <col min="2063" max="2063" width="5.42578125" customWidth="1"/>
    <col min="2064" max="2064" width="8.42578125" customWidth="1"/>
    <col min="2065" max="2065" width="2.42578125" customWidth="1"/>
    <col min="2066" max="2066" width="8.42578125" customWidth="1"/>
    <col min="2067" max="2067" width="12.42578125" customWidth="1"/>
    <col min="2068" max="2068" width="1.5703125" customWidth="1"/>
    <col min="2069" max="2069" width="7.42578125" customWidth="1"/>
    <col min="2070" max="2070" width="8.42578125" customWidth="1"/>
    <col min="2071" max="2071" width="1.5703125" customWidth="1"/>
    <col min="2072" max="2072" width="15.42578125" customWidth="1"/>
    <col min="2073" max="2073" width="14.42578125" customWidth="1"/>
    <col min="2074" max="2074" width="14.5703125" customWidth="1"/>
    <col min="2075" max="2075" width="1.5703125" customWidth="1"/>
    <col min="2309" max="2309" width="18.42578125" customWidth="1"/>
    <col min="2310" max="2310" width="26.42578125" customWidth="1"/>
    <col min="2311" max="2311" width="10.42578125" bestFit="1" customWidth="1"/>
    <col min="2312" max="2312" width="8.5703125" customWidth="1"/>
    <col min="2313" max="2313" width="6" customWidth="1"/>
    <col min="2314" max="2314" width="5.5703125" customWidth="1"/>
    <col min="2315" max="2316" width="5.42578125" customWidth="1"/>
    <col min="2317" max="2317" width="5.5703125" customWidth="1"/>
    <col min="2318" max="2318" width="6.42578125" customWidth="1"/>
    <col min="2319" max="2319" width="5.42578125" customWidth="1"/>
    <col min="2320" max="2320" width="8.42578125" customWidth="1"/>
    <col min="2321" max="2321" width="2.42578125" customWidth="1"/>
    <col min="2322" max="2322" width="8.42578125" customWidth="1"/>
    <col min="2323" max="2323" width="12.42578125" customWidth="1"/>
    <col min="2324" max="2324" width="1.5703125" customWidth="1"/>
    <col min="2325" max="2325" width="7.42578125" customWidth="1"/>
    <col min="2326" max="2326" width="8.42578125" customWidth="1"/>
    <col min="2327" max="2327" width="1.5703125" customWidth="1"/>
    <col min="2328" max="2328" width="15.42578125" customWidth="1"/>
    <col min="2329" max="2329" width="14.42578125" customWidth="1"/>
    <col min="2330" max="2330" width="14.5703125" customWidth="1"/>
    <col min="2331" max="2331" width="1.5703125" customWidth="1"/>
    <col min="2565" max="2565" width="18.42578125" customWidth="1"/>
    <col min="2566" max="2566" width="26.42578125" customWidth="1"/>
    <col min="2567" max="2567" width="10.42578125" bestFit="1" customWidth="1"/>
    <col min="2568" max="2568" width="8.5703125" customWidth="1"/>
    <col min="2569" max="2569" width="6" customWidth="1"/>
    <col min="2570" max="2570" width="5.5703125" customWidth="1"/>
    <col min="2571" max="2572" width="5.42578125" customWidth="1"/>
    <col min="2573" max="2573" width="5.5703125" customWidth="1"/>
    <col min="2574" max="2574" width="6.42578125" customWidth="1"/>
    <col min="2575" max="2575" width="5.42578125" customWidth="1"/>
    <col min="2576" max="2576" width="8.42578125" customWidth="1"/>
    <col min="2577" max="2577" width="2.42578125" customWidth="1"/>
    <col min="2578" max="2578" width="8.42578125" customWidth="1"/>
    <col min="2579" max="2579" width="12.42578125" customWidth="1"/>
    <col min="2580" max="2580" width="1.5703125" customWidth="1"/>
    <col min="2581" max="2581" width="7.42578125" customWidth="1"/>
    <col min="2582" max="2582" width="8.42578125" customWidth="1"/>
    <col min="2583" max="2583" width="1.5703125" customWidth="1"/>
    <col min="2584" max="2584" width="15.42578125" customWidth="1"/>
    <col min="2585" max="2585" width="14.42578125" customWidth="1"/>
    <col min="2586" max="2586" width="14.5703125" customWidth="1"/>
    <col min="2587" max="2587" width="1.5703125" customWidth="1"/>
    <col min="2821" max="2821" width="18.42578125" customWidth="1"/>
    <col min="2822" max="2822" width="26.42578125" customWidth="1"/>
    <col min="2823" max="2823" width="10.42578125" bestFit="1" customWidth="1"/>
    <col min="2824" max="2824" width="8.5703125" customWidth="1"/>
    <col min="2825" max="2825" width="6" customWidth="1"/>
    <col min="2826" max="2826" width="5.5703125" customWidth="1"/>
    <col min="2827" max="2828" width="5.42578125" customWidth="1"/>
    <col min="2829" max="2829" width="5.5703125" customWidth="1"/>
    <col min="2830" max="2830" width="6.42578125" customWidth="1"/>
    <col min="2831" max="2831" width="5.42578125" customWidth="1"/>
    <col min="2832" max="2832" width="8.42578125" customWidth="1"/>
    <col min="2833" max="2833" width="2.42578125" customWidth="1"/>
    <col min="2834" max="2834" width="8.42578125" customWidth="1"/>
    <col min="2835" max="2835" width="12.42578125" customWidth="1"/>
    <col min="2836" max="2836" width="1.5703125" customWidth="1"/>
    <col min="2837" max="2837" width="7.42578125" customWidth="1"/>
    <col min="2838" max="2838" width="8.42578125" customWidth="1"/>
    <col min="2839" max="2839" width="1.5703125" customWidth="1"/>
    <col min="2840" max="2840" width="15.42578125" customWidth="1"/>
    <col min="2841" max="2841" width="14.42578125" customWidth="1"/>
    <col min="2842" max="2842" width="14.5703125" customWidth="1"/>
    <col min="2843" max="2843" width="1.5703125" customWidth="1"/>
    <col min="3077" max="3077" width="18.42578125" customWidth="1"/>
    <col min="3078" max="3078" width="26.42578125" customWidth="1"/>
    <col min="3079" max="3079" width="10.42578125" bestFit="1" customWidth="1"/>
    <col min="3080" max="3080" width="8.5703125" customWidth="1"/>
    <col min="3081" max="3081" width="6" customWidth="1"/>
    <col min="3082" max="3082" width="5.5703125" customWidth="1"/>
    <col min="3083" max="3084" width="5.42578125" customWidth="1"/>
    <col min="3085" max="3085" width="5.5703125" customWidth="1"/>
    <col min="3086" max="3086" width="6.42578125" customWidth="1"/>
    <col min="3087" max="3087" width="5.42578125" customWidth="1"/>
    <col min="3088" max="3088" width="8.42578125" customWidth="1"/>
    <col min="3089" max="3089" width="2.42578125" customWidth="1"/>
    <col min="3090" max="3090" width="8.42578125" customWidth="1"/>
    <col min="3091" max="3091" width="12.42578125" customWidth="1"/>
    <col min="3092" max="3092" width="1.5703125" customWidth="1"/>
    <col min="3093" max="3093" width="7.42578125" customWidth="1"/>
    <col min="3094" max="3094" width="8.42578125" customWidth="1"/>
    <col min="3095" max="3095" width="1.5703125" customWidth="1"/>
    <col min="3096" max="3096" width="15.42578125" customWidth="1"/>
    <col min="3097" max="3097" width="14.42578125" customWidth="1"/>
    <col min="3098" max="3098" width="14.5703125" customWidth="1"/>
    <col min="3099" max="3099" width="1.5703125" customWidth="1"/>
    <col min="3333" max="3333" width="18.42578125" customWidth="1"/>
    <col min="3334" max="3334" width="26.42578125" customWidth="1"/>
    <col min="3335" max="3335" width="10.42578125" bestFit="1" customWidth="1"/>
    <col min="3336" max="3336" width="8.5703125" customWidth="1"/>
    <col min="3337" max="3337" width="6" customWidth="1"/>
    <col min="3338" max="3338" width="5.5703125" customWidth="1"/>
    <col min="3339" max="3340" width="5.42578125" customWidth="1"/>
    <col min="3341" max="3341" width="5.5703125" customWidth="1"/>
    <col min="3342" max="3342" width="6.42578125" customWidth="1"/>
    <col min="3343" max="3343" width="5.42578125" customWidth="1"/>
    <col min="3344" max="3344" width="8.42578125" customWidth="1"/>
    <col min="3345" max="3345" width="2.42578125" customWidth="1"/>
    <col min="3346" max="3346" width="8.42578125" customWidth="1"/>
    <col min="3347" max="3347" width="12.42578125" customWidth="1"/>
    <col min="3348" max="3348" width="1.5703125" customWidth="1"/>
    <col min="3349" max="3349" width="7.42578125" customWidth="1"/>
    <col min="3350" max="3350" width="8.42578125" customWidth="1"/>
    <col min="3351" max="3351" width="1.5703125" customWidth="1"/>
    <col min="3352" max="3352" width="15.42578125" customWidth="1"/>
    <col min="3353" max="3353" width="14.42578125" customWidth="1"/>
    <col min="3354" max="3354" width="14.5703125" customWidth="1"/>
    <col min="3355" max="3355" width="1.5703125" customWidth="1"/>
    <col min="3589" max="3589" width="18.42578125" customWidth="1"/>
    <col min="3590" max="3590" width="26.42578125" customWidth="1"/>
    <col min="3591" max="3591" width="10.42578125" bestFit="1" customWidth="1"/>
    <col min="3592" max="3592" width="8.5703125" customWidth="1"/>
    <col min="3593" max="3593" width="6" customWidth="1"/>
    <col min="3594" max="3594" width="5.5703125" customWidth="1"/>
    <col min="3595" max="3596" width="5.42578125" customWidth="1"/>
    <col min="3597" max="3597" width="5.5703125" customWidth="1"/>
    <col min="3598" max="3598" width="6.42578125" customWidth="1"/>
    <col min="3599" max="3599" width="5.42578125" customWidth="1"/>
    <col min="3600" max="3600" width="8.42578125" customWidth="1"/>
    <col min="3601" max="3601" width="2.42578125" customWidth="1"/>
    <col min="3602" max="3602" width="8.42578125" customWidth="1"/>
    <col min="3603" max="3603" width="12.42578125" customWidth="1"/>
    <col min="3604" max="3604" width="1.5703125" customWidth="1"/>
    <col min="3605" max="3605" width="7.42578125" customWidth="1"/>
    <col min="3606" max="3606" width="8.42578125" customWidth="1"/>
    <col min="3607" max="3607" width="1.5703125" customWidth="1"/>
    <col min="3608" max="3608" width="15.42578125" customWidth="1"/>
    <col min="3609" max="3609" width="14.42578125" customWidth="1"/>
    <col min="3610" max="3610" width="14.5703125" customWidth="1"/>
    <col min="3611" max="3611" width="1.5703125" customWidth="1"/>
    <col min="3845" max="3845" width="18.42578125" customWidth="1"/>
    <col min="3846" max="3846" width="26.42578125" customWidth="1"/>
    <col min="3847" max="3847" width="10.42578125" bestFit="1" customWidth="1"/>
    <col min="3848" max="3848" width="8.5703125" customWidth="1"/>
    <col min="3849" max="3849" width="6" customWidth="1"/>
    <col min="3850" max="3850" width="5.5703125" customWidth="1"/>
    <col min="3851" max="3852" width="5.42578125" customWidth="1"/>
    <col min="3853" max="3853" width="5.5703125" customWidth="1"/>
    <col min="3854" max="3854" width="6.42578125" customWidth="1"/>
    <col min="3855" max="3855" width="5.42578125" customWidth="1"/>
    <col min="3856" max="3856" width="8.42578125" customWidth="1"/>
    <col min="3857" max="3857" width="2.42578125" customWidth="1"/>
    <col min="3858" max="3858" width="8.42578125" customWidth="1"/>
    <col min="3859" max="3859" width="12.42578125" customWidth="1"/>
    <col min="3860" max="3860" width="1.5703125" customWidth="1"/>
    <col min="3861" max="3861" width="7.42578125" customWidth="1"/>
    <col min="3862" max="3862" width="8.42578125" customWidth="1"/>
    <col min="3863" max="3863" width="1.5703125" customWidth="1"/>
    <col min="3864" max="3864" width="15.42578125" customWidth="1"/>
    <col min="3865" max="3865" width="14.42578125" customWidth="1"/>
    <col min="3866" max="3866" width="14.5703125" customWidth="1"/>
    <col min="3867" max="3867" width="1.5703125" customWidth="1"/>
    <col min="4101" max="4101" width="18.42578125" customWidth="1"/>
    <col min="4102" max="4102" width="26.42578125" customWidth="1"/>
    <col min="4103" max="4103" width="10.42578125" bestFit="1" customWidth="1"/>
    <col min="4104" max="4104" width="8.5703125" customWidth="1"/>
    <col min="4105" max="4105" width="6" customWidth="1"/>
    <col min="4106" max="4106" width="5.5703125" customWidth="1"/>
    <col min="4107" max="4108" width="5.42578125" customWidth="1"/>
    <col min="4109" max="4109" width="5.5703125" customWidth="1"/>
    <col min="4110" max="4110" width="6.42578125" customWidth="1"/>
    <col min="4111" max="4111" width="5.42578125" customWidth="1"/>
    <col min="4112" max="4112" width="8.42578125" customWidth="1"/>
    <col min="4113" max="4113" width="2.42578125" customWidth="1"/>
    <col min="4114" max="4114" width="8.42578125" customWidth="1"/>
    <col min="4115" max="4115" width="12.42578125" customWidth="1"/>
    <col min="4116" max="4116" width="1.5703125" customWidth="1"/>
    <col min="4117" max="4117" width="7.42578125" customWidth="1"/>
    <col min="4118" max="4118" width="8.42578125" customWidth="1"/>
    <col min="4119" max="4119" width="1.5703125" customWidth="1"/>
    <col min="4120" max="4120" width="15.42578125" customWidth="1"/>
    <col min="4121" max="4121" width="14.42578125" customWidth="1"/>
    <col min="4122" max="4122" width="14.5703125" customWidth="1"/>
    <col min="4123" max="4123" width="1.5703125" customWidth="1"/>
    <col min="4357" max="4357" width="18.42578125" customWidth="1"/>
    <col min="4358" max="4358" width="26.42578125" customWidth="1"/>
    <col min="4359" max="4359" width="10.42578125" bestFit="1" customWidth="1"/>
    <col min="4360" max="4360" width="8.5703125" customWidth="1"/>
    <col min="4361" max="4361" width="6" customWidth="1"/>
    <col min="4362" max="4362" width="5.5703125" customWidth="1"/>
    <col min="4363" max="4364" width="5.42578125" customWidth="1"/>
    <col min="4365" max="4365" width="5.5703125" customWidth="1"/>
    <col min="4366" max="4366" width="6.42578125" customWidth="1"/>
    <col min="4367" max="4367" width="5.42578125" customWidth="1"/>
    <col min="4368" max="4368" width="8.42578125" customWidth="1"/>
    <col min="4369" max="4369" width="2.42578125" customWidth="1"/>
    <col min="4370" max="4370" width="8.42578125" customWidth="1"/>
    <col min="4371" max="4371" width="12.42578125" customWidth="1"/>
    <col min="4372" max="4372" width="1.5703125" customWidth="1"/>
    <col min="4373" max="4373" width="7.42578125" customWidth="1"/>
    <col min="4374" max="4374" width="8.42578125" customWidth="1"/>
    <col min="4375" max="4375" width="1.5703125" customWidth="1"/>
    <col min="4376" max="4376" width="15.42578125" customWidth="1"/>
    <col min="4377" max="4377" width="14.42578125" customWidth="1"/>
    <col min="4378" max="4378" width="14.5703125" customWidth="1"/>
    <col min="4379" max="4379" width="1.5703125" customWidth="1"/>
    <col min="4613" max="4613" width="18.42578125" customWidth="1"/>
    <col min="4614" max="4614" width="26.42578125" customWidth="1"/>
    <col min="4615" max="4615" width="10.42578125" bestFit="1" customWidth="1"/>
    <col min="4616" max="4616" width="8.5703125" customWidth="1"/>
    <col min="4617" max="4617" width="6" customWidth="1"/>
    <col min="4618" max="4618" width="5.5703125" customWidth="1"/>
    <col min="4619" max="4620" width="5.42578125" customWidth="1"/>
    <col min="4621" max="4621" width="5.5703125" customWidth="1"/>
    <col min="4622" max="4622" width="6.42578125" customWidth="1"/>
    <col min="4623" max="4623" width="5.42578125" customWidth="1"/>
    <col min="4624" max="4624" width="8.42578125" customWidth="1"/>
    <col min="4625" max="4625" width="2.42578125" customWidth="1"/>
    <col min="4626" max="4626" width="8.42578125" customWidth="1"/>
    <col min="4627" max="4627" width="12.42578125" customWidth="1"/>
    <col min="4628" max="4628" width="1.5703125" customWidth="1"/>
    <col min="4629" max="4629" width="7.42578125" customWidth="1"/>
    <col min="4630" max="4630" width="8.42578125" customWidth="1"/>
    <col min="4631" max="4631" width="1.5703125" customWidth="1"/>
    <col min="4632" max="4632" width="15.42578125" customWidth="1"/>
    <col min="4633" max="4633" width="14.42578125" customWidth="1"/>
    <col min="4634" max="4634" width="14.5703125" customWidth="1"/>
    <col min="4635" max="4635" width="1.5703125" customWidth="1"/>
    <col min="4869" max="4869" width="18.42578125" customWidth="1"/>
    <col min="4870" max="4870" width="26.42578125" customWidth="1"/>
    <col min="4871" max="4871" width="10.42578125" bestFit="1" customWidth="1"/>
    <col min="4872" max="4872" width="8.5703125" customWidth="1"/>
    <col min="4873" max="4873" width="6" customWidth="1"/>
    <col min="4874" max="4874" width="5.5703125" customWidth="1"/>
    <col min="4875" max="4876" width="5.42578125" customWidth="1"/>
    <col min="4877" max="4877" width="5.5703125" customWidth="1"/>
    <col min="4878" max="4878" width="6.42578125" customWidth="1"/>
    <col min="4879" max="4879" width="5.42578125" customWidth="1"/>
    <col min="4880" max="4880" width="8.42578125" customWidth="1"/>
    <col min="4881" max="4881" width="2.42578125" customWidth="1"/>
    <col min="4882" max="4882" width="8.42578125" customWidth="1"/>
    <col min="4883" max="4883" width="12.42578125" customWidth="1"/>
    <col min="4884" max="4884" width="1.5703125" customWidth="1"/>
    <col min="4885" max="4885" width="7.42578125" customWidth="1"/>
    <col min="4886" max="4886" width="8.42578125" customWidth="1"/>
    <col min="4887" max="4887" width="1.5703125" customWidth="1"/>
    <col min="4888" max="4888" width="15.42578125" customWidth="1"/>
    <col min="4889" max="4889" width="14.42578125" customWidth="1"/>
    <col min="4890" max="4890" width="14.5703125" customWidth="1"/>
    <col min="4891" max="4891" width="1.5703125" customWidth="1"/>
    <col min="5125" max="5125" width="18.42578125" customWidth="1"/>
    <col min="5126" max="5126" width="26.42578125" customWidth="1"/>
    <col min="5127" max="5127" width="10.42578125" bestFit="1" customWidth="1"/>
    <col min="5128" max="5128" width="8.5703125" customWidth="1"/>
    <col min="5129" max="5129" width="6" customWidth="1"/>
    <col min="5130" max="5130" width="5.5703125" customWidth="1"/>
    <col min="5131" max="5132" width="5.42578125" customWidth="1"/>
    <col min="5133" max="5133" width="5.5703125" customWidth="1"/>
    <col min="5134" max="5134" width="6.42578125" customWidth="1"/>
    <col min="5135" max="5135" width="5.42578125" customWidth="1"/>
    <col min="5136" max="5136" width="8.42578125" customWidth="1"/>
    <col min="5137" max="5137" width="2.42578125" customWidth="1"/>
    <col min="5138" max="5138" width="8.42578125" customWidth="1"/>
    <col min="5139" max="5139" width="12.42578125" customWidth="1"/>
    <col min="5140" max="5140" width="1.5703125" customWidth="1"/>
    <col min="5141" max="5141" width="7.42578125" customWidth="1"/>
    <col min="5142" max="5142" width="8.42578125" customWidth="1"/>
    <col min="5143" max="5143" width="1.5703125" customWidth="1"/>
    <col min="5144" max="5144" width="15.42578125" customWidth="1"/>
    <col min="5145" max="5145" width="14.42578125" customWidth="1"/>
    <col min="5146" max="5146" width="14.5703125" customWidth="1"/>
    <col min="5147" max="5147" width="1.5703125" customWidth="1"/>
    <col min="5381" max="5381" width="18.42578125" customWidth="1"/>
    <col min="5382" max="5382" width="26.42578125" customWidth="1"/>
    <col min="5383" max="5383" width="10.42578125" bestFit="1" customWidth="1"/>
    <col min="5384" max="5384" width="8.5703125" customWidth="1"/>
    <col min="5385" max="5385" width="6" customWidth="1"/>
    <col min="5386" max="5386" width="5.5703125" customWidth="1"/>
    <col min="5387" max="5388" width="5.42578125" customWidth="1"/>
    <col min="5389" max="5389" width="5.5703125" customWidth="1"/>
    <col min="5390" max="5390" width="6.42578125" customWidth="1"/>
    <col min="5391" max="5391" width="5.42578125" customWidth="1"/>
    <col min="5392" max="5392" width="8.42578125" customWidth="1"/>
    <col min="5393" max="5393" width="2.42578125" customWidth="1"/>
    <col min="5394" max="5394" width="8.42578125" customWidth="1"/>
    <col min="5395" max="5395" width="12.42578125" customWidth="1"/>
    <col min="5396" max="5396" width="1.5703125" customWidth="1"/>
    <col min="5397" max="5397" width="7.42578125" customWidth="1"/>
    <col min="5398" max="5398" width="8.42578125" customWidth="1"/>
    <col min="5399" max="5399" width="1.5703125" customWidth="1"/>
    <col min="5400" max="5400" width="15.42578125" customWidth="1"/>
    <col min="5401" max="5401" width="14.42578125" customWidth="1"/>
    <col min="5402" max="5402" width="14.5703125" customWidth="1"/>
    <col min="5403" max="5403" width="1.5703125" customWidth="1"/>
    <col min="5637" max="5637" width="18.42578125" customWidth="1"/>
    <col min="5638" max="5638" width="26.42578125" customWidth="1"/>
    <col min="5639" max="5639" width="10.42578125" bestFit="1" customWidth="1"/>
    <col min="5640" max="5640" width="8.5703125" customWidth="1"/>
    <col min="5641" max="5641" width="6" customWidth="1"/>
    <col min="5642" max="5642" width="5.5703125" customWidth="1"/>
    <col min="5643" max="5644" width="5.42578125" customWidth="1"/>
    <col min="5645" max="5645" width="5.5703125" customWidth="1"/>
    <col min="5646" max="5646" width="6.42578125" customWidth="1"/>
    <col min="5647" max="5647" width="5.42578125" customWidth="1"/>
    <col min="5648" max="5648" width="8.42578125" customWidth="1"/>
    <col min="5649" max="5649" width="2.42578125" customWidth="1"/>
    <col min="5650" max="5650" width="8.42578125" customWidth="1"/>
    <col min="5651" max="5651" width="12.42578125" customWidth="1"/>
    <col min="5652" max="5652" width="1.5703125" customWidth="1"/>
    <col min="5653" max="5653" width="7.42578125" customWidth="1"/>
    <col min="5654" max="5654" width="8.42578125" customWidth="1"/>
    <col min="5655" max="5655" width="1.5703125" customWidth="1"/>
    <col min="5656" max="5656" width="15.42578125" customWidth="1"/>
    <col min="5657" max="5657" width="14.42578125" customWidth="1"/>
    <col min="5658" max="5658" width="14.5703125" customWidth="1"/>
    <col min="5659" max="5659" width="1.5703125" customWidth="1"/>
    <col min="5893" max="5893" width="18.42578125" customWidth="1"/>
    <col min="5894" max="5894" width="26.42578125" customWidth="1"/>
    <col min="5895" max="5895" width="10.42578125" bestFit="1" customWidth="1"/>
    <col min="5896" max="5896" width="8.5703125" customWidth="1"/>
    <col min="5897" max="5897" width="6" customWidth="1"/>
    <col min="5898" max="5898" width="5.5703125" customWidth="1"/>
    <col min="5899" max="5900" width="5.42578125" customWidth="1"/>
    <col min="5901" max="5901" width="5.5703125" customWidth="1"/>
    <col min="5902" max="5902" width="6.42578125" customWidth="1"/>
    <col min="5903" max="5903" width="5.42578125" customWidth="1"/>
    <col min="5904" max="5904" width="8.42578125" customWidth="1"/>
    <col min="5905" max="5905" width="2.42578125" customWidth="1"/>
    <col min="5906" max="5906" width="8.42578125" customWidth="1"/>
    <col min="5907" max="5907" width="12.42578125" customWidth="1"/>
    <col min="5908" max="5908" width="1.5703125" customWidth="1"/>
    <col min="5909" max="5909" width="7.42578125" customWidth="1"/>
    <col min="5910" max="5910" width="8.42578125" customWidth="1"/>
    <col min="5911" max="5911" width="1.5703125" customWidth="1"/>
    <col min="5912" max="5912" width="15.42578125" customWidth="1"/>
    <col min="5913" max="5913" width="14.42578125" customWidth="1"/>
    <col min="5914" max="5914" width="14.5703125" customWidth="1"/>
    <col min="5915" max="5915" width="1.5703125" customWidth="1"/>
    <col min="6149" max="6149" width="18.42578125" customWidth="1"/>
    <col min="6150" max="6150" width="26.42578125" customWidth="1"/>
    <col min="6151" max="6151" width="10.42578125" bestFit="1" customWidth="1"/>
    <col min="6152" max="6152" width="8.5703125" customWidth="1"/>
    <col min="6153" max="6153" width="6" customWidth="1"/>
    <col min="6154" max="6154" width="5.5703125" customWidth="1"/>
    <col min="6155" max="6156" width="5.42578125" customWidth="1"/>
    <col min="6157" max="6157" width="5.5703125" customWidth="1"/>
    <col min="6158" max="6158" width="6.42578125" customWidth="1"/>
    <col min="6159" max="6159" width="5.42578125" customWidth="1"/>
    <col min="6160" max="6160" width="8.42578125" customWidth="1"/>
    <col min="6161" max="6161" width="2.42578125" customWidth="1"/>
    <col min="6162" max="6162" width="8.42578125" customWidth="1"/>
    <col min="6163" max="6163" width="12.42578125" customWidth="1"/>
    <col min="6164" max="6164" width="1.5703125" customWidth="1"/>
    <col min="6165" max="6165" width="7.42578125" customWidth="1"/>
    <col min="6166" max="6166" width="8.42578125" customWidth="1"/>
    <col min="6167" max="6167" width="1.5703125" customWidth="1"/>
    <col min="6168" max="6168" width="15.42578125" customWidth="1"/>
    <col min="6169" max="6169" width="14.42578125" customWidth="1"/>
    <col min="6170" max="6170" width="14.5703125" customWidth="1"/>
    <col min="6171" max="6171" width="1.5703125" customWidth="1"/>
    <col min="6405" max="6405" width="18.42578125" customWidth="1"/>
    <col min="6406" max="6406" width="26.42578125" customWidth="1"/>
    <col min="6407" max="6407" width="10.42578125" bestFit="1" customWidth="1"/>
    <col min="6408" max="6408" width="8.5703125" customWidth="1"/>
    <col min="6409" max="6409" width="6" customWidth="1"/>
    <col min="6410" max="6410" width="5.5703125" customWidth="1"/>
    <col min="6411" max="6412" width="5.42578125" customWidth="1"/>
    <col min="6413" max="6413" width="5.5703125" customWidth="1"/>
    <col min="6414" max="6414" width="6.42578125" customWidth="1"/>
    <col min="6415" max="6415" width="5.42578125" customWidth="1"/>
    <col min="6416" max="6416" width="8.42578125" customWidth="1"/>
    <col min="6417" max="6417" width="2.42578125" customWidth="1"/>
    <col min="6418" max="6418" width="8.42578125" customWidth="1"/>
    <col min="6419" max="6419" width="12.42578125" customWidth="1"/>
    <col min="6420" max="6420" width="1.5703125" customWidth="1"/>
    <col min="6421" max="6421" width="7.42578125" customWidth="1"/>
    <col min="6422" max="6422" width="8.42578125" customWidth="1"/>
    <col min="6423" max="6423" width="1.5703125" customWidth="1"/>
    <col min="6424" max="6424" width="15.42578125" customWidth="1"/>
    <col min="6425" max="6425" width="14.42578125" customWidth="1"/>
    <col min="6426" max="6426" width="14.5703125" customWidth="1"/>
    <col min="6427" max="6427" width="1.5703125" customWidth="1"/>
    <col min="6661" max="6661" width="18.42578125" customWidth="1"/>
    <col min="6662" max="6662" width="26.42578125" customWidth="1"/>
    <col min="6663" max="6663" width="10.42578125" bestFit="1" customWidth="1"/>
    <col min="6664" max="6664" width="8.5703125" customWidth="1"/>
    <col min="6665" max="6665" width="6" customWidth="1"/>
    <col min="6666" max="6666" width="5.5703125" customWidth="1"/>
    <col min="6667" max="6668" width="5.42578125" customWidth="1"/>
    <col min="6669" max="6669" width="5.5703125" customWidth="1"/>
    <col min="6670" max="6670" width="6.42578125" customWidth="1"/>
    <col min="6671" max="6671" width="5.42578125" customWidth="1"/>
    <col min="6672" max="6672" width="8.42578125" customWidth="1"/>
    <col min="6673" max="6673" width="2.42578125" customWidth="1"/>
    <col min="6674" max="6674" width="8.42578125" customWidth="1"/>
    <col min="6675" max="6675" width="12.42578125" customWidth="1"/>
    <col min="6676" max="6676" width="1.5703125" customWidth="1"/>
    <col min="6677" max="6677" width="7.42578125" customWidth="1"/>
    <col min="6678" max="6678" width="8.42578125" customWidth="1"/>
    <col min="6679" max="6679" width="1.5703125" customWidth="1"/>
    <col min="6680" max="6680" width="15.42578125" customWidth="1"/>
    <col min="6681" max="6681" width="14.42578125" customWidth="1"/>
    <col min="6682" max="6682" width="14.5703125" customWidth="1"/>
    <col min="6683" max="6683" width="1.5703125" customWidth="1"/>
    <col min="6917" max="6917" width="18.42578125" customWidth="1"/>
    <col min="6918" max="6918" width="26.42578125" customWidth="1"/>
    <col min="6919" max="6919" width="10.42578125" bestFit="1" customWidth="1"/>
    <col min="6920" max="6920" width="8.5703125" customWidth="1"/>
    <col min="6921" max="6921" width="6" customWidth="1"/>
    <col min="6922" max="6922" width="5.5703125" customWidth="1"/>
    <col min="6923" max="6924" width="5.42578125" customWidth="1"/>
    <col min="6925" max="6925" width="5.5703125" customWidth="1"/>
    <col min="6926" max="6926" width="6.42578125" customWidth="1"/>
    <col min="6927" max="6927" width="5.42578125" customWidth="1"/>
    <col min="6928" max="6928" width="8.42578125" customWidth="1"/>
    <col min="6929" max="6929" width="2.42578125" customWidth="1"/>
    <col min="6930" max="6930" width="8.42578125" customWidth="1"/>
    <col min="6931" max="6931" width="12.42578125" customWidth="1"/>
    <col min="6932" max="6932" width="1.5703125" customWidth="1"/>
    <col min="6933" max="6933" width="7.42578125" customWidth="1"/>
    <col min="6934" max="6934" width="8.42578125" customWidth="1"/>
    <col min="6935" max="6935" width="1.5703125" customWidth="1"/>
    <col min="6936" max="6936" width="15.42578125" customWidth="1"/>
    <col min="6937" max="6937" width="14.42578125" customWidth="1"/>
    <col min="6938" max="6938" width="14.5703125" customWidth="1"/>
    <col min="6939" max="6939" width="1.5703125" customWidth="1"/>
    <col min="7173" max="7173" width="18.42578125" customWidth="1"/>
    <col min="7174" max="7174" width="26.42578125" customWidth="1"/>
    <col min="7175" max="7175" width="10.42578125" bestFit="1" customWidth="1"/>
    <col min="7176" max="7176" width="8.5703125" customWidth="1"/>
    <col min="7177" max="7177" width="6" customWidth="1"/>
    <col min="7178" max="7178" width="5.5703125" customWidth="1"/>
    <col min="7179" max="7180" width="5.42578125" customWidth="1"/>
    <col min="7181" max="7181" width="5.5703125" customWidth="1"/>
    <col min="7182" max="7182" width="6.42578125" customWidth="1"/>
    <col min="7183" max="7183" width="5.42578125" customWidth="1"/>
    <col min="7184" max="7184" width="8.42578125" customWidth="1"/>
    <col min="7185" max="7185" width="2.42578125" customWidth="1"/>
    <col min="7186" max="7186" width="8.42578125" customWidth="1"/>
    <col min="7187" max="7187" width="12.42578125" customWidth="1"/>
    <col min="7188" max="7188" width="1.5703125" customWidth="1"/>
    <col min="7189" max="7189" width="7.42578125" customWidth="1"/>
    <col min="7190" max="7190" width="8.42578125" customWidth="1"/>
    <col min="7191" max="7191" width="1.5703125" customWidth="1"/>
    <col min="7192" max="7192" width="15.42578125" customWidth="1"/>
    <col min="7193" max="7193" width="14.42578125" customWidth="1"/>
    <col min="7194" max="7194" width="14.5703125" customWidth="1"/>
    <col min="7195" max="7195" width="1.5703125" customWidth="1"/>
    <col min="7429" max="7429" width="18.42578125" customWidth="1"/>
    <col min="7430" max="7430" width="26.42578125" customWidth="1"/>
    <col min="7431" max="7431" width="10.42578125" bestFit="1" customWidth="1"/>
    <col min="7432" max="7432" width="8.5703125" customWidth="1"/>
    <col min="7433" max="7433" width="6" customWidth="1"/>
    <col min="7434" max="7434" width="5.5703125" customWidth="1"/>
    <col min="7435" max="7436" width="5.42578125" customWidth="1"/>
    <col min="7437" max="7437" width="5.5703125" customWidth="1"/>
    <col min="7438" max="7438" width="6.42578125" customWidth="1"/>
    <col min="7439" max="7439" width="5.42578125" customWidth="1"/>
    <col min="7440" max="7440" width="8.42578125" customWidth="1"/>
    <col min="7441" max="7441" width="2.42578125" customWidth="1"/>
    <col min="7442" max="7442" width="8.42578125" customWidth="1"/>
    <col min="7443" max="7443" width="12.42578125" customWidth="1"/>
    <col min="7444" max="7444" width="1.5703125" customWidth="1"/>
    <col min="7445" max="7445" width="7.42578125" customWidth="1"/>
    <col min="7446" max="7446" width="8.42578125" customWidth="1"/>
    <col min="7447" max="7447" width="1.5703125" customWidth="1"/>
    <col min="7448" max="7448" width="15.42578125" customWidth="1"/>
    <col min="7449" max="7449" width="14.42578125" customWidth="1"/>
    <col min="7450" max="7450" width="14.5703125" customWidth="1"/>
    <col min="7451" max="7451" width="1.5703125" customWidth="1"/>
    <col min="7685" max="7685" width="18.42578125" customWidth="1"/>
    <col min="7686" max="7686" width="26.42578125" customWidth="1"/>
    <col min="7687" max="7687" width="10.42578125" bestFit="1" customWidth="1"/>
    <col min="7688" max="7688" width="8.5703125" customWidth="1"/>
    <col min="7689" max="7689" width="6" customWidth="1"/>
    <col min="7690" max="7690" width="5.5703125" customWidth="1"/>
    <col min="7691" max="7692" width="5.42578125" customWidth="1"/>
    <col min="7693" max="7693" width="5.5703125" customWidth="1"/>
    <col min="7694" max="7694" width="6.42578125" customWidth="1"/>
    <col min="7695" max="7695" width="5.42578125" customWidth="1"/>
    <col min="7696" max="7696" width="8.42578125" customWidth="1"/>
    <col min="7697" max="7697" width="2.42578125" customWidth="1"/>
    <col min="7698" max="7698" width="8.42578125" customWidth="1"/>
    <col min="7699" max="7699" width="12.42578125" customWidth="1"/>
    <col min="7700" max="7700" width="1.5703125" customWidth="1"/>
    <col min="7701" max="7701" width="7.42578125" customWidth="1"/>
    <col min="7702" max="7702" width="8.42578125" customWidth="1"/>
    <col min="7703" max="7703" width="1.5703125" customWidth="1"/>
    <col min="7704" max="7704" width="15.42578125" customWidth="1"/>
    <col min="7705" max="7705" width="14.42578125" customWidth="1"/>
    <col min="7706" max="7706" width="14.5703125" customWidth="1"/>
    <col min="7707" max="7707" width="1.5703125" customWidth="1"/>
    <col min="7941" max="7941" width="18.42578125" customWidth="1"/>
    <col min="7942" max="7942" width="26.42578125" customWidth="1"/>
    <col min="7943" max="7943" width="10.42578125" bestFit="1" customWidth="1"/>
    <col min="7944" max="7944" width="8.5703125" customWidth="1"/>
    <col min="7945" max="7945" width="6" customWidth="1"/>
    <col min="7946" max="7946" width="5.5703125" customWidth="1"/>
    <col min="7947" max="7948" width="5.42578125" customWidth="1"/>
    <col min="7949" max="7949" width="5.5703125" customWidth="1"/>
    <col min="7950" max="7950" width="6.42578125" customWidth="1"/>
    <col min="7951" max="7951" width="5.42578125" customWidth="1"/>
    <col min="7952" max="7952" width="8.42578125" customWidth="1"/>
    <col min="7953" max="7953" width="2.42578125" customWidth="1"/>
    <col min="7954" max="7954" width="8.42578125" customWidth="1"/>
    <col min="7955" max="7955" width="12.42578125" customWidth="1"/>
    <col min="7956" max="7956" width="1.5703125" customWidth="1"/>
    <col min="7957" max="7957" width="7.42578125" customWidth="1"/>
    <col min="7958" max="7958" width="8.42578125" customWidth="1"/>
    <col min="7959" max="7959" width="1.5703125" customWidth="1"/>
    <col min="7960" max="7960" width="15.42578125" customWidth="1"/>
    <col min="7961" max="7961" width="14.42578125" customWidth="1"/>
    <col min="7962" max="7962" width="14.5703125" customWidth="1"/>
    <col min="7963" max="7963" width="1.5703125" customWidth="1"/>
    <col min="8197" max="8197" width="18.42578125" customWidth="1"/>
    <col min="8198" max="8198" width="26.42578125" customWidth="1"/>
    <col min="8199" max="8199" width="10.42578125" bestFit="1" customWidth="1"/>
    <col min="8200" max="8200" width="8.5703125" customWidth="1"/>
    <col min="8201" max="8201" width="6" customWidth="1"/>
    <col min="8202" max="8202" width="5.5703125" customWidth="1"/>
    <col min="8203" max="8204" width="5.42578125" customWidth="1"/>
    <col min="8205" max="8205" width="5.5703125" customWidth="1"/>
    <col min="8206" max="8206" width="6.42578125" customWidth="1"/>
    <col min="8207" max="8207" width="5.42578125" customWidth="1"/>
    <col min="8208" max="8208" width="8.42578125" customWidth="1"/>
    <col min="8209" max="8209" width="2.42578125" customWidth="1"/>
    <col min="8210" max="8210" width="8.42578125" customWidth="1"/>
    <col min="8211" max="8211" width="12.42578125" customWidth="1"/>
    <col min="8212" max="8212" width="1.5703125" customWidth="1"/>
    <col min="8213" max="8213" width="7.42578125" customWidth="1"/>
    <col min="8214" max="8214" width="8.42578125" customWidth="1"/>
    <col min="8215" max="8215" width="1.5703125" customWidth="1"/>
    <col min="8216" max="8216" width="15.42578125" customWidth="1"/>
    <col min="8217" max="8217" width="14.42578125" customWidth="1"/>
    <col min="8218" max="8218" width="14.5703125" customWidth="1"/>
    <col min="8219" max="8219" width="1.5703125" customWidth="1"/>
    <col min="8453" max="8453" width="18.42578125" customWidth="1"/>
    <col min="8454" max="8454" width="26.42578125" customWidth="1"/>
    <col min="8455" max="8455" width="10.42578125" bestFit="1" customWidth="1"/>
    <col min="8456" max="8456" width="8.5703125" customWidth="1"/>
    <col min="8457" max="8457" width="6" customWidth="1"/>
    <col min="8458" max="8458" width="5.5703125" customWidth="1"/>
    <col min="8459" max="8460" width="5.42578125" customWidth="1"/>
    <col min="8461" max="8461" width="5.5703125" customWidth="1"/>
    <col min="8462" max="8462" width="6.42578125" customWidth="1"/>
    <col min="8463" max="8463" width="5.42578125" customWidth="1"/>
    <col min="8464" max="8464" width="8.42578125" customWidth="1"/>
    <col min="8465" max="8465" width="2.42578125" customWidth="1"/>
    <col min="8466" max="8466" width="8.42578125" customWidth="1"/>
    <col min="8467" max="8467" width="12.42578125" customWidth="1"/>
    <col min="8468" max="8468" width="1.5703125" customWidth="1"/>
    <col min="8469" max="8469" width="7.42578125" customWidth="1"/>
    <col min="8470" max="8470" width="8.42578125" customWidth="1"/>
    <col min="8471" max="8471" width="1.5703125" customWidth="1"/>
    <col min="8472" max="8472" width="15.42578125" customWidth="1"/>
    <col min="8473" max="8473" width="14.42578125" customWidth="1"/>
    <col min="8474" max="8474" width="14.5703125" customWidth="1"/>
    <col min="8475" max="8475" width="1.5703125" customWidth="1"/>
    <col min="8709" max="8709" width="18.42578125" customWidth="1"/>
    <col min="8710" max="8710" width="26.42578125" customWidth="1"/>
    <col min="8711" max="8711" width="10.42578125" bestFit="1" customWidth="1"/>
    <col min="8712" max="8712" width="8.5703125" customWidth="1"/>
    <col min="8713" max="8713" width="6" customWidth="1"/>
    <col min="8714" max="8714" width="5.5703125" customWidth="1"/>
    <col min="8715" max="8716" width="5.42578125" customWidth="1"/>
    <col min="8717" max="8717" width="5.5703125" customWidth="1"/>
    <col min="8718" max="8718" width="6.42578125" customWidth="1"/>
    <col min="8719" max="8719" width="5.42578125" customWidth="1"/>
    <col min="8720" max="8720" width="8.42578125" customWidth="1"/>
    <col min="8721" max="8721" width="2.42578125" customWidth="1"/>
    <col min="8722" max="8722" width="8.42578125" customWidth="1"/>
    <col min="8723" max="8723" width="12.42578125" customWidth="1"/>
    <col min="8724" max="8724" width="1.5703125" customWidth="1"/>
    <col min="8725" max="8725" width="7.42578125" customWidth="1"/>
    <col min="8726" max="8726" width="8.42578125" customWidth="1"/>
    <col min="8727" max="8727" width="1.5703125" customWidth="1"/>
    <col min="8728" max="8728" width="15.42578125" customWidth="1"/>
    <col min="8729" max="8729" width="14.42578125" customWidth="1"/>
    <col min="8730" max="8730" width="14.5703125" customWidth="1"/>
    <col min="8731" max="8731" width="1.5703125" customWidth="1"/>
    <col min="8965" max="8965" width="18.42578125" customWidth="1"/>
    <col min="8966" max="8966" width="26.42578125" customWidth="1"/>
    <col min="8967" max="8967" width="10.42578125" bestFit="1" customWidth="1"/>
    <col min="8968" max="8968" width="8.5703125" customWidth="1"/>
    <col min="8969" max="8969" width="6" customWidth="1"/>
    <col min="8970" max="8970" width="5.5703125" customWidth="1"/>
    <col min="8971" max="8972" width="5.42578125" customWidth="1"/>
    <col min="8973" max="8973" width="5.5703125" customWidth="1"/>
    <col min="8974" max="8974" width="6.42578125" customWidth="1"/>
    <col min="8975" max="8975" width="5.42578125" customWidth="1"/>
    <col min="8976" max="8976" width="8.42578125" customWidth="1"/>
    <col min="8977" max="8977" width="2.42578125" customWidth="1"/>
    <col min="8978" max="8978" width="8.42578125" customWidth="1"/>
    <col min="8979" max="8979" width="12.42578125" customWidth="1"/>
    <col min="8980" max="8980" width="1.5703125" customWidth="1"/>
    <col min="8981" max="8981" width="7.42578125" customWidth="1"/>
    <col min="8982" max="8982" width="8.42578125" customWidth="1"/>
    <col min="8983" max="8983" width="1.5703125" customWidth="1"/>
    <col min="8984" max="8984" width="15.42578125" customWidth="1"/>
    <col min="8985" max="8985" width="14.42578125" customWidth="1"/>
    <col min="8986" max="8986" width="14.5703125" customWidth="1"/>
    <col min="8987" max="8987" width="1.5703125" customWidth="1"/>
    <col min="9221" max="9221" width="18.42578125" customWidth="1"/>
    <col min="9222" max="9222" width="26.42578125" customWidth="1"/>
    <col min="9223" max="9223" width="10.42578125" bestFit="1" customWidth="1"/>
    <col min="9224" max="9224" width="8.5703125" customWidth="1"/>
    <col min="9225" max="9225" width="6" customWidth="1"/>
    <col min="9226" max="9226" width="5.5703125" customWidth="1"/>
    <col min="9227" max="9228" width="5.42578125" customWidth="1"/>
    <col min="9229" max="9229" width="5.5703125" customWidth="1"/>
    <col min="9230" max="9230" width="6.42578125" customWidth="1"/>
    <col min="9231" max="9231" width="5.42578125" customWidth="1"/>
    <col min="9232" max="9232" width="8.42578125" customWidth="1"/>
    <col min="9233" max="9233" width="2.42578125" customWidth="1"/>
    <col min="9234" max="9234" width="8.42578125" customWidth="1"/>
    <col min="9235" max="9235" width="12.42578125" customWidth="1"/>
    <col min="9236" max="9236" width="1.5703125" customWidth="1"/>
    <col min="9237" max="9237" width="7.42578125" customWidth="1"/>
    <col min="9238" max="9238" width="8.42578125" customWidth="1"/>
    <col min="9239" max="9239" width="1.5703125" customWidth="1"/>
    <col min="9240" max="9240" width="15.42578125" customWidth="1"/>
    <col min="9241" max="9241" width="14.42578125" customWidth="1"/>
    <col min="9242" max="9242" width="14.5703125" customWidth="1"/>
    <col min="9243" max="9243" width="1.5703125" customWidth="1"/>
    <col min="9477" max="9477" width="18.42578125" customWidth="1"/>
    <col min="9478" max="9478" width="26.42578125" customWidth="1"/>
    <col min="9479" max="9479" width="10.42578125" bestFit="1" customWidth="1"/>
    <col min="9480" max="9480" width="8.5703125" customWidth="1"/>
    <col min="9481" max="9481" width="6" customWidth="1"/>
    <col min="9482" max="9482" width="5.5703125" customWidth="1"/>
    <col min="9483" max="9484" width="5.42578125" customWidth="1"/>
    <col min="9485" max="9485" width="5.5703125" customWidth="1"/>
    <col min="9486" max="9486" width="6.42578125" customWidth="1"/>
    <col min="9487" max="9487" width="5.42578125" customWidth="1"/>
    <col min="9488" max="9488" width="8.42578125" customWidth="1"/>
    <col min="9489" max="9489" width="2.42578125" customWidth="1"/>
    <col min="9490" max="9490" width="8.42578125" customWidth="1"/>
    <col min="9491" max="9491" width="12.42578125" customWidth="1"/>
    <col min="9492" max="9492" width="1.5703125" customWidth="1"/>
    <col min="9493" max="9493" width="7.42578125" customWidth="1"/>
    <col min="9494" max="9494" width="8.42578125" customWidth="1"/>
    <col min="9495" max="9495" width="1.5703125" customWidth="1"/>
    <col min="9496" max="9496" width="15.42578125" customWidth="1"/>
    <col min="9497" max="9497" width="14.42578125" customWidth="1"/>
    <col min="9498" max="9498" width="14.5703125" customWidth="1"/>
    <col min="9499" max="9499" width="1.5703125" customWidth="1"/>
    <col min="9733" max="9733" width="18.42578125" customWidth="1"/>
    <col min="9734" max="9734" width="26.42578125" customWidth="1"/>
    <col min="9735" max="9735" width="10.42578125" bestFit="1" customWidth="1"/>
    <col min="9736" max="9736" width="8.5703125" customWidth="1"/>
    <col min="9737" max="9737" width="6" customWidth="1"/>
    <col min="9738" max="9738" width="5.5703125" customWidth="1"/>
    <col min="9739" max="9740" width="5.42578125" customWidth="1"/>
    <col min="9741" max="9741" width="5.5703125" customWidth="1"/>
    <col min="9742" max="9742" width="6.42578125" customWidth="1"/>
    <col min="9743" max="9743" width="5.42578125" customWidth="1"/>
    <col min="9744" max="9744" width="8.42578125" customWidth="1"/>
    <col min="9745" max="9745" width="2.42578125" customWidth="1"/>
    <col min="9746" max="9746" width="8.42578125" customWidth="1"/>
    <col min="9747" max="9747" width="12.42578125" customWidth="1"/>
    <col min="9748" max="9748" width="1.5703125" customWidth="1"/>
    <col min="9749" max="9749" width="7.42578125" customWidth="1"/>
    <col min="9750" max="9750" width="8.42578125" customWidth="1"/>
    <col min="9751" max="9751" width="1.5703125" customWidth="1"/>
    <col min="9752" max="9752" width="15.42578125" customWidth="1"/>
    <col min="9753" max="9753" width="14.42578125" customWidth="1"/>
    <col min="9754" max="9754" width="14.5703125" customWidth="1"/>
    <col min="9755" max="9755" width="1.5703125" customWidth="1"/>
    <col min="9989" max="9989" width="18.42578125" customWidth="1"/>
    <col min="9990" max="9990" width="26.42578125" customWidth="1"/>
    <col min="9991" max="9991" width="10.42578125" bestFit="1" customWidth="1"/>
    <col min="9992" max="9992" width="8.5703125" customWidth="1"/>
    <col min="9993" max="9993" width="6" customWidth="1"/>
    <col min="9994" max="9994" width="5.5703125" customWidth="1"/>
    <col min="9995" max="9996" width="5.42578125" customWidth="1"/>
    <col min="9997" max="9997" width="5.5703125" customWidth="1"/>
    <col min="9998" max="9998" width="6.42578125" customWidth="1"/>
    <col min="9999" max="9999" width="5.42578125" customWidth="1"/>
    <col min="10000" max="10000" width="8.42578125" customWidth="1"/>
    <col min="10001" max="10001" width="2.42578125" customWidth="1"/>
    <col min="10002" max="10002" width="8.42578125" customWidth="1"/>
    <col min="10003" max="10003" width="12.42578125" customWidth="1"/>
    <col min="10004" max="10004" width="1.5703125" customWidth="1"/>
    <col min="10005" max="10005" width="7.42578125" customWidth="1"/>
    <col min="10006" max="10006" width="8.42578125" customWidth="1"/>
    <col min="10007" max="10007" width="1.5703125" customWidth="1"/>
    <col min="10008" max="10008" width="15.42578125" customWidth="1"/>
    <col min="10009" max="10009" width="14.42578125" customWidth="1"/>
    <col min="10010" max="10010" width="14.5703125" customWidth="1"/>
    <col min="10011" max="10011" width="1.5703125" customWidth="1"/>
    <col min="10245" max="10245" width="18.42578125" customWidth="1"/>
    <col min="10246" max="10246" width="26.42578125" customWidth="1"/>
    <col min="10247" max="10247" width="10.42578125" bestFit="1" customWidth="1"/>
    <col min="10248" max="10248" width="8.5703125" customWidth="1"/>
    <col min="10249" max="10249" width="6" customWidth="1"/>
    <col min="10250" max="10250" width="5.5703125" customWidth="1"/>
    <col min="10251" max="10252" width="5.42578125" customWidth="1"/>
    <col min="10253" max="10253" width="5.5703125" customWidth="1"/>
    <col min="10254" max="10254" width="6.42578125" customWidth="1"/>
    <col min="10255" max="10255" width="5.42578125" customWidth="1"/>
    <col min="10256" max="10256" width="8.42578125" customWidth="1"/>
    <col min="10257" max="10257" width="2.42578125" customWidth="1"/>
    <col min="10258" max="10258" width="8.42578125" customWidth="1"/>
    <col min="10259" max="10259" width="12.42578125" customWidth="1"/>
    <col min="10260" max="10260" width="1.5703125" customWidth="1"/>
    <col min="10261" max="10261" width="7.42578125" customWidth="1"/>
    <col min="10262" max="10262" width="8.42578125" customWidth="1"/>
    <col min="10263" max="10263" width="1.5703125" customWidth="1"/>
    <col min="10264" max="10264" width="15.42578125" customWidth="1"/>
    <col min="10265" max="10265" width="14.42578125" customWidth="1"/>
    <col min="10266" max="10266" width="14.5703125" customWidth="1"/>
    <col min="10267" max="10267" width="1.5703125" customWidth="1"/>
    <col min="10501" max="10501" width="18.42578125" customWidth="1"/>
    <col min="10502" max="10502" width="26.42578125" customWidth="1"/>
    <col min="10503" max="10503" width="10.42578125" bestFit="1" customWidth="1"/>
    <col min="10504" max="10504" width="8.5703125" customWidth="1"/>
    <col min="10505" max="10505" width="6" customWidth="1"/>
    <col min="10506" max="10506" width="5.5703125" customWidth="1"/>
    <col min="10507" max="10508" width="5.42578125" customWidth="1"/>
    <col min="10509" max="10509" width="5.5703125" customWidth="1"/>
    <col min="10510" max="10510" width="6.42578125" customWidth="1"/>
    <col min="10511" max="10511" width="5.42578125" customWidth="1"/>
    <col min="10512" max="10512" width="8.42578125" customWidth="1"/>
    <col min="10513" max="10513" width="2.42578125" customWidth="1"/>
    <col min="10514" max="10514" width="8.42578125" customWidth="1"/>
    <col min="10515" max="10515" width="12.42578125" customWidth="1"/>
    <col min="10516" max="10516" width="1.5703125" customWidth="1"/>
    <col min="10517" max="10517" width="7.42578125" customWidth="1"/>
    <col min="10518" max="10518" width="8.42578125" customWidth="1"/>
    <col min="10519" max="10519" width="1.5703125" customWidth="1"/>
    <col min="10520" max="10520" width="15.42578125" customWidth="1"/>
    <col min="10521" max="10521" width="14.42578125" customWidth="1"/>
    <col min="10522" max="10522" width="14.5703125" customWidth="1"/>
    <col min="10523" max="10523" width="1.5703125" customWidth="1"/>
    <col min="10757" max="10757" width="18.42578125" customWidth="1"/>
    <col min="10758" max="10758" width="26.42578125" customWidth="1"/>
    <col min="10759" max="10759" width="10.42578125" bestFit="1" customWidth="1"/>
    <col min="10760" max="10760" width="8.5703125" customWidth="1"/>
    <col min="10761" max="10761" width="6" customWidth="1"/>
    <col min="10762" max="10762" width="5.5703125" customWidth="1"/>
    <col min="10763" max="10764" width="5.42578125" customWidth="1"/>
    <col min="10765" max="10765" width="5.5703125" customWidth="1"/>
    <col min="10766" max="10766" width="6.42578125" customWidth="1"/>
    <col min="10767" max="10767" width="5.42578125" customWidth="1"/>
    <col min="10768" max="10768" width="8.42578125" customWidth="1"/>
    <col min="10769" max="10769" width="2.42578125" customWidth="1"/>
    <col min="10770" max="10770" width="8.42578125" customWidth="1"/>
    <col min="10771" max="10771" width="12.42578125" customWidth="1"/>
    <col min="10772" max="10772" width="1.5703125" customWidth="1"/>
    <col min="10773" max="10773" width="7.42578125" customWidth="1"/>
    <col min="10774" max="10774" width="8.42578125" customWidth="1"/>
    <col min="10775" max="10775" width="1.5703125" customWidth="1"/>
    <col min="10776" max="10776" width="15.42578125" customWidth="1"/>
    <col min="10777" max="10777" width="14.42578125" customWidth="1"/>
    <col min="10778" max="10778" width="14.5703125" customWidth="1"/>
    <col min="10779" max="10779" width="1.5703125" customWidth="1"/>
    <col min="11013" max="11013" width="18.42578125" customWidth="1"/>
    <col min="11014" max="11014" width="26.42578125" customWidth="1"/>
    <col min="11015" max="11015" width="10.42578125" bestFit="1" customWidth="1"/>
    <col min="11016" max="11016" width="8.5703125" customWidth="1"/>
    <col min="11017" max="11017" width="6" customWidth="1"/>
    <col min="11018" max="11018" width="5.5703125" customWidth="1"/>
    <col min="11019" max="11020" width="5.42578125" customWidth="1"/>
    <col min="11021" max="11021" width="5.5703125" customWidth="1"/>
    <col min="11022" max="11022" width="6.42578125" customWidth="1"/>
    <col min="11023" max="11023" width="5.42578125" customWidth="1"/>
    <col min="11024" max="11024" width="8.42578125" customWidth="1"/>
    <col min="11025" max="11025" width="2.42578125" customWidth="1"/>
    <col min="11026" max="11026" width="8.42578125" customWidth="1"/>
    <col min="11027" max="11027" width="12.42578125" customWidth="1"/>
    <col min="11028" max="11028" width="1.5703125" customWidth="1"/>
    <col min="11029" max="11029" width="7.42578125" customWidth="1"/>
    <col min="11030" max="11030" width="8.42578125" customWidth="1"/>
    <col min="11031" max="11031" width="1.5703125" customWidth="1"/>
    <col min="11032" max="11032" width="15.42578125" customWidth="1"/>
    <col min="11033" max="11033" width="14.42578125" customWidth="1"/>
    <col min="11034" max="11034" width="14.5703125" customWidth="1"/>
    <col min="11035" max="11035" width="1.5703125" customWidth="1"/>
    <col min="11269" max="11269" width="18.42578125" customWidth="1"/>
    <col min="11270" max="11270" width="26.42578125" customWidth="1"/>
    <col min="11271" max="11271" width="10.42578125" bestFit="1" customWidth="1"/>
    <col min="11272" max="11272" width="8.5703125" customWidth="1"/>
    <col min="11273" max="11273" width="6" customWidth="1"/>
    <col min="11274" max="11274" width="5.5703125" customWidth="1"/>
    <col min="11275" max="11276" width="5.42578125" customWidth="1"/>
    <col min="11277" max="11277" width="5.5703125" customWidth="1"/>
    <col min="11278" max="11278" width="6.42578125" customWidth="1"/>
    <col min="11279" max="11279" width="5.42578125" customWidth="1"/>
    <col min="11280" max="11280" width="8.42578125" customWidth="1"/>
    <col min="11281" max="11281" width="2.42578125" customWidth="1"/>
    <col min="11282" max="11282" width="8.42578125" customWidth="1"/>
    <col min="11283" max="11283" width="12.42578125" customWidth="1"/>
    <col min="11284" max="11284" width="1.5703125" customWidth="1"/>
    <col min="11285" max="11285" width="7.42578125" customWidth="1"/>
    <col min="11286" max="11286" width="8.42578125" customWidth="1"/>
    <col min="11287" max="11287" width="1.5703125" customWidth="1"/>
    <col min="11288" max="11288" width="15.42578125" customWidth="1"/>
    <col min="11289" max="11289" width="14.42578125" customWidth="1"/>
    <col min="11290" max="11290" width="14.5703125" customWidth="1"/>
    <col min="11291" max="11291" width="1.5703125" customWidth="1"/>
    <col min="11525" max="11525" width="18.42578125" customWidth="1"/>
    <col min="11526" max="11526" width="26.42578125" customWidth="1"/>
    <col min="11527" max="11527" width="10.42578125" bestFit="1" customWidth="1"/>
    <col min="11528" max="11528" width="8.5703125" customWidth="1"/>
    <col min="11529" max="11529" width="6" customWidth="1"/>
    <col min="11530" max="11530" width="5.5703125" customWidth="1"/>
    <col min="11531" max="11532" width="5.42578125" customWidth="1"/>
    <col min="11533" max="11533" width="5.5703125" customWidth="1"/>
    <col min="11534" max="11534" width="6.42578125" customWidth="1"/>
    <col min="11535" max="11535" width="5.42578125" customWidth="1"/>
    <col min="11536" max="11536" width="8.42578125" customWidth="1"/>
    <col min="11537" max="11537" width="2.42578125" customWidth="1"/>
    <col min="11538" max="11538" width="8.42578125" customWidth="1"/>
    <col min="11539" max="11539" width="12.42578125" customWidth="1"/>
    <col min="11540" max="11540" width="1.5703125" customWidth="1"/>
    <col min="11541" max="11541" width="7.42578125" customWidth="1"/>
    <col min="11542" max="11542" width="8.42578125" customWidth="1"/>
    <col min="11543" max="11543" width="1.5703125" customWidth="1"/>
    <col min="11544" max="11544" width="15.42578125" customWidth="1"/>
    <col min="11545" max="11545" width="14.42578125" customWidth="1"/>
    <col min="11546" max="11546" width="14.5703125" customWidth="1"/>
    <col min="11547" max="11547" width="1.5703125" customWidth="1"/>
    <col min="11781" max="11781" width="18.42578125" customWidth="1"/>
    <col min="11782" max="11782" width="26.42578125" customWidth="1"/>
    <col min="11783" max="11783" width="10.42578125" bestFit="1" customWidth="1"/>
    <col min="11784" max="11784" width="8.5703125" customWidth="1"/>
    <col min="11785" max="11785" width="6" customWidth="1"/>
    <col min="11786" max="11786" width="5.5703125" customWidth="1"/>
    <col min="11787" max="11788" width="5.42578125" customWidth="1"/>
    <col min="11789" max="11789" width="5.5703125" customWidth="1"/>
    <col min="11790" max="11790" width="6.42578125" customWidth="1"/>
    <col min="11791" max="11791" width="5.42578125" customWidth="1"/>
    <col min="11792" max="11792" width="8.42578125" customWidth="1"/>
    <col min="11793" max="11793" width="2.42578125" customWidth="1"/>
    <col min="11794" max="11794" width="8.42578125" customWidth="1"/>
    <col min="11795" max="11795" width="12.42578125" customWidth="1"/>
    <col min="11796" max="11796" width="1.5703125" customWidth="1"/>
    <col min="11797" max="11797" width="7.42578125" customWidth="1"/>
    <col min="11798" max="11798" width="8.42578125" customWidth="1"/>
    <col min="11799" max="11799" width="1.5703125" customWidth="1"/>
    <col min="11800" max="11800" width="15.42578125" customWidth="1"/>
    <col min="11801" max="11801" width="14.42578125" customWidth="1"/>
    <col min="11802" max="11802" width="14.5703125" customWidth="1"/>
    <col min="11803" max="11803" width="1.5703125" customWidth="1"/>
    <col min="12037" max="12037" width="18.42578125" customWidth="1"/>
    <col min="12038" max="12038" width="26.42578125" customWidth="1"/>
    <col min="12039" max="12039" width="10.42578125" bestFit="1" customWidth="1"/>
    <col min="12040" max="12040" width="8.5703125" customWidth="1"/>
    <col min="12041" max="12041" width="6" customWidth="1"/>
    <col min="12042" max="12042" width="5.5703125" customWidth="1"/>
    <col min="12043" max="12044" width="5.42578125" customWidth="1"/>
    <col min="12045" max="12045" width="5.5703125" customWidth="1"/>
    <col min="12046" max="12046" width="6.42578125" customWidth="1"/>
    <col min="12047" max="12047" width="5.42578125" customWidth="1"/>
    <col min="12048" max="12048" width="8.42578125" customWidth="1"/>
    <col min="12049" max="12049" width="2.42578125" customWidth="1"/>
    <col min="12050" max="12050" width="8.42578125" customWidth="1"/>
    <col min="12051" max="12051" width="12.42578125" customWidth="1"/>
    <col min="12052" max="12052" width="1.5703125" customWidth="1"/>
    <col min="12053" max="12053" width="7.42578125" customWidth="1"/>
    <col min="12054" max="12054" width="8.42578125" customWidth="1"/>
    <col min="12055" max="12055" width="1.5703125" customWidth="1"/>
    <col min="12056" max="12056" width="15.42578125" customWidth="1"/>
    <col min="12057" max="12057" width="14.42578125" customWidth="1"/>
    <col min="12058" max="12058" width="14.5703125" customWidth="1"/>
    <col min="12059" max="12059" width="1.5703125" customWidth="1"/>
    <col min="12293" max="12293" width="18.42578125" customWidth="1"/>
    <col min="12294" max="12294" width="26.42578125" customWidth="1"/>
    <col min="12295" max="12295" width="10.42578125" bestFit="1" customWidth="1"/>
    <col min="12296" max="12296" width="8.5703125" customWidth="1"/>
    <col min="12297" max="12297" width="6" customWidth="1"/>
    <col min="12298" max="12298" width="5.5703125" customWidth="1"/>
    <col min="12299" max="12300" width="5.42578125" customWidth="1"/>
    <col min="12301" max="12301" width="5.5703125" customWidth="1"/>
    <col min="12302" max="12302" width="6.42578125" customWidth="1"/>
    <col min="12303" max="12303" width="5.42578125" customWidth="1"/>
    <col min="12304" max="12304" width="8.42578125" customWidth="1"/>
    <col min="12305" max="12305" width="2.42578125" customWidth="1"/>
    <col min="12306" max="12306" width="8.42578125" customWidth="1"/>
    <col min="12307" max="12307" width="12.42578125" customWidth="1"/>
    <col min="12308" max="12308" width="1.5703125" customWidth="1"/>
    <col min="12309" max="12309" width="7.42578125" customWidth="1"/>
    <col min="12310" max="12310" width="8.42578125" customWidth="1"/>
    <col min="12311" max="12311" width="1.5703125" customWidth="1"/>
    <col min="12312" max="12312" width="15.42578125" customWidth="1"/>
    <col min="12313" max="12313" width="14.42578125" customWidth="1"/>
    <col min="12314" max="12314" width="14.5703125" customWidth="1"/>
    <col min="12315" max="12315" width="1.5703125" customWidth="1"/>
    <col min="12549" max="12549" width="18.42578125" customWidth="1"/>
    <col min="12550" max="12550" width="26.42578125" customWidth="1"/>
    <col min="12551" max="12551" width="10.42578125" bestFit="1" customWidth="1"/>
    <col min="12552" max="12552" width="8.5703125" customWidth="1"/>
    <col min="12553" max="12553" width="6" customWidth="1"/>
    <col min="12554" max="12554" width="5.5703125" customWidth="1"/>
    <col min="12555" max="12556" width="5.42578125" customWidth="1"/>
    <col min="12557" max="12557" width="5.5703125" customWidth="1"/>
    <col min="12558" max="12558" width="6.42578125" customWidth="1"/>
    <col min="12559" max="12559" width="5.42578125" customWidth="1"/>
    <col min="12560" max="12560" width="8.42578125" customWidth="1"/>
    <col min="12561" max="12561" width="2.42578125" customWidth="1"/>
    <col min="12562" max="12562" width="8.42578125" customWidth="1"/>
    <col min="12563" max="12563" width="12.42578125" customWidth="1"/>
    <col min="12564" max="12564" width="1.5703125" customWidth="1"/>
    <col min="12565" max="12565" width="7.42578125" customWidth="1"/>
    <col min="12566" max="12566" width="8.42578125" customWidth="1"/>
    <col min="12567" max="12567" width="1.5703125" customWidth="1"/>
    <col min="12568" max="12568" width="15.42578125" customWidth="1"/>
    <col min="12569" max="12569" width="14.42578125" customWidth="1"/>
    <col min="12570" max="12570" width="14.5703125" customWidth="1"/>
    <col min="12571" max="12571" width="1.5703125" customWidth="1"/>
    <col min="12805" max="12805" width="18.42578125" customWidth="1"/>
    <col min="12806" max="12806" width="26.42578125" customWidth="1"/>
    <col min="12807" max="12807" width="10.42578125" bestFit="1" customWidth="1"/>
    <col min="12808" max="12808" width="8.5703125" customWidth="1"/>
    <col min="12809" max="12809" width="6" customWidth="1"/>
    <col min="12810" max="12810" width="5.5703125" customWidth="1"/>
    <col min="12811" max="12812" width="5.42578125" customWidth="1"/>
    <col min="12813" max="12813" width="5.5703125" customWidth="1"/>
    <col min="12814" max="12814" width="6.42578125" customWidth="1"/>
    <col min="12815" max="12815" width="5.42578125" customWidth="1"/>
    <col min="12816" max="12816" width="8.42578125" customWidth="1"/>
    <col min="12817" max="12817" width="2.42578125" customWidth="1"/>
    <col min="12818" max="12818" width="8.42578125" customWidth="1"/>
    <col min="12819" max="12819" width="12.42578125" customWidth="1"/>
    <col min="12820" max="12820" width="1.5703125" customWidth="1"/>
    <col min="12821" max="12821" width="7.42578125" customWidth="1"/>
    <col min="12822" max="12822" width="8.42578125" customWidth="1"/>
    <col min="12823" max="12823" width="1.5703125" customWidth="1"/>
    <col min="12824" max="12824" width="15.42578125" customWidth="1"/>
    <col min="12825" max="12825" width="14.42578125" customWidth="1"/>
    <col min="12826" max="12826" width="14.5703125" customWidth="1"/>
    <col min="12827" max="12827" width="1.5703125" customWidth="1"/>
    <col min="13061" max="13061" width="18.42578125" customWidth="1"/>
    <col min="13062" max="13062" width="26.42578125" customWidth="1"/>
    <col min="13063" max="13063" width="10.42578125" bestFit="1" customWidth="1"/>
    <col min="13064" max="13064" width="8.5703125" customWidth="1"/>
    <col min="13065" max="13065" width="6" customWidth="1"/>
    <col min="13066" max="13066" width="5.5703125" customWidth="1"/>
    <col min="13067" max="13068" width="5.42578125" customWidth="1"/>
    <col min="13069" max="13069" width="5.5703125" customWidth="1"/>
    <col min="13070" max="13070" width="6.42578125" customWidth="1"/>
    <col min="13071" max="13071" width="5.42578125" customWidth="1"/>
    <col min="13072" max="13072" width="8.42578125" customWidth="1"/>
    <col min="13073" max="13073" width="2.42578125" customWidth="1"/>
    <col min="13074" max="13074" width="8.42578125" customWidth="1"/>
    <col min="13075" max="13075" width="12.42578125" customWidth="1"/>
    <col min="13076" max="13076" width="1.5703125" customWidth="1"/>
    <col min="13077" max="13077" width="7.42578125" customWidth="1"/>
    <col min="13078" max="13078" width="8.42578125" customWidth="1"/>
    <col min="13079" max="13079" width="1.5703125" customWidth="1"/>
    <col min="13080" max="13080" width="15.42578125" customWidth="1"/>
    <col min="13081" max="13081" width="14.42578125" customWidth="1"/>
    <col min="13082" max="13082" width="14.5703125" customWidth="1"/>
    <col min="13083" max="13083" width="1.5703125" customWidth="1"/>
    <col min="13317" max="13317" width="18.42578125" customWidth="1"/>
    <col min="13318" max="13318" width="26.42578125" customWidth="1"/>
    <col min="13319" max="13319" width="10.42578125" bestFit="1" customWidth="1"/>
    <col min="13320" max="13320" width="8.5703125" customWidth="1"/>
    <col min="13321" max="13321" width="6" customWidth="1"/>
    <col min="13322" max="13322" width="5.5703125" customWidth="1"/>
    <col min="13323" max="13324" width="5.42578125" customWidth="1"/>
    <col min="13325" max="13325" width="5.5703125" customWidth="1"/>
    <col min="13326" max="13326" width="6.42578125" customWidth="1"/>
    <col min="13327" max="13327" width="5.42578125" customWidth="1"/>
    <col min="13328" max="13328" width="8.42578125" customWidth="1"/>
    <col min="13329" max="13329" width="2.42578125" customWidth="1"/>
    <col min="13330" max="13330" width="8.42578125" customWidth="1"/>
    <col min="13331" max="13331" width="12.42578125" customWidth="1"/>
    <col min="13332" max="13332" width="1.5703125" customWidth="1"/>
    <col min="13333" max="13333" width="7.42578125" customWidth="1"/>
    <col min="13334" max="13334" width="8.42578125" customWidth="1"/>
    <col min="13335" max="13335" width="1.5703125" customWidth="1"/>
    <col min="13336" max="13336" width="15.42578125" customWidth="1"/>
    <col min="13337" max="13337" width="14.42578125" customWidth="1"/>
    <col min="13338" max="13338" width="14.5703125" customWidth="1"/>
    <col min="13339" max="13339" width="1.5703125" customWidth="1"/>
    <col min="13573" max="13573" width="18.42578125" customWidth="1"/>
    <col min="13574" max="13574" width="26.42578125" customWidth="1"/>
    <col min="13575" max="13575" width="10.42578125" bestFit="1" customWidth="1"/>
    <col min="13576" max="13576" width="8.5703125" customWidth="1"/>
    <col min="13577" max="13577" width="6" customWidth="1"/>
    <col min="13578" max="13578" width="5.5703125" customWidth="1"/>
    <col min="13579" max="13580" width="5.42578125" customWidth="1"/>
    <col min="13581" max="13581" width="5.5703125" customWidth="1"/>
    <col min="13582" max="13582" width="6.42578125" customWidth="1"/>
    <col min="13583" max="13583" width="5.42578125" customWidth="1"/>
    <col min="13584" max="13584" width="8.42578125" customWidth="1"/>
    <col min="13585" max="13585" width="2.42578125" customWidth="1"/>
    <col min="13586" max="13586" width="8.42578125" customWidth="1"/>
    <col min="13587" max="13587" width="12.42578125" customWidth="1"/>
    <col min="13588" max="13588" width="1.5703125" customWidth="1"/>
    <col min="13589" max="13589" width="7.42578125" customWidth="1"/>
    <col min="13590" max="13590" width="8.42578125" customWidth="1"/>
    <col min="13591" max="13591" width="1.5703125" customWidth="1"/>
    <col min="13592" max="13592" width="15.42578125" customWidth="1"/>
    <col min="13593" max="13593" width="14.42578125" customWidth="1"/>
    <col min="13594" max="13594" width="14.5703125" customWidth="1"/>
    <col min="13595" max="13595" width="1.5703125" customWidth="1"/>
    <col min="13829" max="13829" width="18.42578125" customWidth="1"/>
    <col min="13830" max="13830" width="26.42578125" customWidth="1"/>
    <col min="13831" max="13831" width="10.42578125" bestFit="1" customWidth="1"/>
    <col min="13832" max="13832" width="8.5703125" customWidth="1"/>
    <col min="13833" max="13833" width="6" customWidth="1"/>
    <col min="13834" max="13834" width="5.5703125" customWidth="1"/>
    <col min="13835" max="13836" width="5.42578125" customWidth="1"/>
    <col min="13837" max="13837" width="5.5703125" customWidth="1"/>
    <col min="13838" max="13838" width="6.42578125" customWidth="1"/>
    <col min="13839" max="13839" width="5.42578125" customWidth="1"/>
    <col min="13840" max="13840" width="8.42578125" customWidth="1"/>
    <col min="13841" max="13841" width="2.42578125" customWidth="1"/>
    <col min="13842" max="13842" width="8.42578125" customWidth="1"/>
    <col min="13843" max="13843" width="12.42578125" customWidth="1"/>
    <col min="13844" max="13844" width="1.5703125" customWidth="1"/>
    <col min="13845" max="13845" width="7.42578125" customWidth="1"/>
    <col min="13846" max="13846" width="8.42578125" customWidth="1"/>
    <col min="13847" max="13847" width="1.5703125" customWidth="1"/>
    <col min="13848" max="13848" width="15.42578125" customWidth="1"/>
    <col min="13849" max="13849" width="14.42578125" customWidth="1"/>
    <col min="13850" max="13850" width="14.5703125" customWidth="1"/>
    <col min="13851" max="13851" width="1.5703125" customWidth="1"/>
    <col min="14085" max="14085" width="18.42578125" customWidth="1"/>
    <col min="14086" max="14086" width="26.42578125" customWidth="1"/>
    <col min="14087" max="14087" width="10.42578125" bestFit="1" customWidth="1"/>
    <col min="14088" max="14088" width="8.5703125" customWidth="1"/>
    <col min="14089" max="14089" width="6" customWidth="1"/>
    <col min="14090" max="14090" width="5.5703125" customWidth="1"/>
    <col min="14091" max="14092" width="5.42578125" customWidth="1"/>
    <col min="14093" max="14093" width="5.5703125" customWidth="1"/>
    <col min="14094" max="14094" width="6.42578125" customWidth="1"/>
    <col min="14095" max="14095" width="5.42578125" customWidth="1"/>
    <col min="14096" max="14096" width="8.42578125" customWidth="1"/>
    <col min="14097" max="14097" width="2.42578125" customWidth="1"/>
    <col min="14098" max="14098" width="8.42578125" customWidth="1"/>
    <col min="14099" max="14099" width="12.42578125" customWidth="1"/>
    <col min="14100" max="14100" width="1.5703125" customWidth="1"/>
    <col min="14101" max="14101" width="7.42578125" customWidth="1"/>
    <col min="14102" max="14102" width="8.42578125" customWidth="1"/>
    <col min="14103" max="14103" width="1.5703125" customWidth="1"/>
    <col min="14104" max="14104" width="15.42578125" customWidth="1"/>
    <col min="14105" max="14105" width="14.42578125" customWidth="1"/>
    <col min="14106" max="14106" width="14.5703125" customWidth="1"/>
    <col min="14107" max="14107" width="1.5703125" customWidth="1"/>
    <col min="14341" max="14341" width="18.42578125" customWidth="1"/>
    <col min="14342" max="14342" width="26.42578125" customWidth="1"/>
    <col min="14343" max="14343" width="10.42578125" bestFit="1" customWidth="1"/>
    <col min="14344" max="14344" width="8.5703125" customWidth="1"/>
    <col min="14345" max="14345" width="6" customWidth="1"/>
    <col min="14346" max="14346" width="5.5703125" customWidth="1"/>
    <col min="14347" max="14348" width="5.42578125" customWidth="1"/>
    <col min="14349" max="14349" width="5.5703125" customWidth="1"/>
    <col min="14350" max="14350" width="6.42578125" customWidth="1"/>
    <col min="14351" max="14351" width="5.42578125" customWidth="1"/>
    <col min="14352" max="14352" width="8.42578125" customWidth="1"/>
    <col min="14353" max="14353" width="2.42578125" customWidth="1"/>
    <col min="14354" max="14354" width="8.42578125" customWidth="1"/>
    <col min="14355" max="14355" width="12.42578125" customWidth="1"/>
    <col min="14356" max="14356" width="1.5703125" customWidth="1"/>
    <col min="14357" max="14357" width="7.42578125" customWidth="1"/>
    <col min="14358" max="14358" width="8.42578125" customWidth="1"/>
    <col min="14359" max="14359" width="1.5703125" customWidth="1"/>
    <col min="14360" max="14360" width="15.42578125" customWidth="1"/>
    <col min="14361" max="14361" width="14.42578125" customWidth="1"/>
    <col min="14362" max="14362" width="14.5703125" customWidth="1"/>
    <col min="14363" max="14363" width="1.5703125" customWidth="1"/>
    <col min="14597" max="14597" width="18.42578125" customWidth="1"/>
    <col min="14598" max="14598" width="26.42578125" customWidth="1"/>
    <col min="14599" max="14599" width="10.42578125" bestFit="1" customWidth="1"/>
    <col min="14600" max="14600" width="8.5703125" customWidth="1"/>
    <col min="14601" max="14601" width="6" customWidth="1"/>
    <col min="14602" max="14602" width="5.5703125" customWidth="1"/>
    <col min="14603" max="14604" width="5.42578125" customWidth="1"/>
    <col min="14605" max="14605" width="5.5703125" customWidth="1"/>
    <col min="14606" max="14606" width="6.42578125" customWidth="1"/>
    <col min="14607" max="14607" width="5.42578125" customWidth="1"/>
    <col min="14608" max="14608" width="8.42578125" customWidth="1"/>
    <col min="14609" max="14609" width="2.42578125" customWidth="1"/>
    <col min="14610" max="14610" width="8.42578125" customWidth="1"/>
    <col min="14611" max="14611" width="12.42578125" customWidth="1"/>
    <col min="14612" max="14612" width="1.5703125" customWidth="1"/>
    <col min="14613" max="14613" width="7.42578125" customWidth="1"/>
    <col min="14614" max="14614" width="8.42578125" customWidth="1"/>
    <col min="14615" max="14615" width="1.5703125" customWidth="1"/>
    <col min="14616" max="14616" width="15.42578125" customWidth="1"/>
    <col min="14617" max="14617" width="14.42578125" customWidth="1"/>
    <col min="14618" max="14618" width="14.5703125" customWidth="1"/>
    <col min="14619" max="14619" width="1.5703125" customWidth="1"/>
    <col min="14853" max="14853" width="18.42578125" customWidth="1"/>
    <col min="14854" max="14854" width="26.42578125" customWidth="1"/>
    <col min="14855" max="14855" width="10.42578125" bestFit="1" customWidth="1"/>
    <col min="14856" max="14856" width="8.5703125" customWidth="1"/>
    <col min="14857" max="14857" width="6" customWidth="1"/>
    <col min="14858" max="14858" width="5.5703125" customWidth="1"/>
    <col min="14859" max="14860" width="5.42578125" customWidth="1"/>
    <col min="14861" max="14861" width="5.5703125" customWidth="1"/>
    <col min="14862" max="14862" width="6.42578125" customWidth="1"/>
    <col min="14863" max="14863" width="5.42578125" customWidth="1"/>
    <col min="14864" max="14864" width="8.42578125" customWidth="1"/>
    <col min="14865" max="14865" width="2.42578125" customWidth="1"/>
    <col min="14866" max="14866" width="8.42578125" customWidth="1"/>
    <col min="14867" max="14867" width="12.42578125" customWidth="1"/>
    <col min="14868" max="14868" width="1.5703125" customWidth="1"/>
    <col min="14869" max="14869" width="7.42578125" customWidth="1"/>
    <col min="14870" max="14870" width="8.42578125" customWidth="1"/>
    <col min="14871" max="14871" width="1.5703125" customWidth="1"/>
    <col min="14872" max="14872" width="15.42578125" customWidth="1"/>
    <col min="14873" max="14873" width="14.42578125" customWidth="1"/>
    <col min="14874" max="14874" width="14.5703125" customWidth="1"/>
    <col min="14875" max="14875" width="1.5703125" customWidth="1"/>
    <col min="15109" max="15109" width="18.42578125" customWidth="1"/>
    <col min="15110" max="15110" width="26.42578125" customWidth="1"/>
    <col min="15111" max="15111" width="10.42578125" bestFit="1" customWidth="1"/>
    <col min="15112" max="15112" width="8.5703125" customWidth="1"/>
    <col min="15113" max="15113" width="6" customWidth="1"/>
    <col min="15114" max="15114" width="5.5703125" customWidth="1"/>
    <col min="15115" max="15116" width="5.42578125" customWidth="1"/>
    <col min="15117" max="15117" width="5.5703125" customWidth="1"/>
    <col min="15118" max="15118" width="6.42578125" customWidth="1"/>
    <col min="15119" max="15119" width="5.42578125" customWidth="1"/>
    <col min="15120" max="15120" width="8.42578125" customWidth="1"/>
    <col min="15121" max="15121" width="2.42578125" customWidth="1"/>
    <col min="15122" max="15122" width="8.42578125" customWidth="1"/>
    <col min="15123" max="15123" width="12.42578125" customWidth="1"/>
    <col min="15124" max="15124" width="1.5703125" customWidth="1"/>
    <col min="15125" max="15125" width="7.42578125" customWidth="1"/>
    <col min="15126" max="15126" width="8.42578125" customWidth="1"/>
    <col min="15127" max="15127" width="1.5703125" customWidth="1"/>
    <col min="15128" max="15128" width="15.42578125" customWidth="1"/>
    <col min="15129" max="15129" width="14.42578125" customWidth="1"/>
    <col min="15130" max="15130" width="14.5703125" customWidth="1"/>
    <col min="15131" max="15131" width="1.5703125" customWidth="1"/>
    <col min="15365" max="15365" width="18.42578125" customWidth="1"/>
    <col min="15366" max="15366" width="26.42578125" customWidth="1"/>
    <col min="15367" max="15367" width="10.42578125" bestFit="1" customWidth="1"/>
    <col min="15368" max="15368" width="8.5703125" customWidth="1"/>
    <col min="15369" max="15369" width="6" customWidth="1"/>
    <col min="15370" max="15370" width="5.5703125" customWidth="1"/>
    <col min="15371" max="15372" width="5.42578125" customWidth="1"/>
    <col min="15373" max="15373" width="5.5703125" customWidth="1"/>
    <col min="15374" max="15374" width="6.42578125" customWidth="1"/>
    <col min="15375" max="15375" width="5.42578125" customWidth="1"/>
    <col min="15376" max="15376" width="8.42578125" customWidth="1"/>
    <col min="15377" max="15377" width="2.42578125" customWidth="1"/>
    <col min="15378" max="15378" width="8.42578125" customWidth="1"/>
    <col min="15379" max="15379" width="12.42578125" customWidth="1"/>
    <col min="15380" max="15380" width="1.5703125" customWidth="1"/>
    <col min="15381" max="15381" width="7.42578125" customWidth="1"/>
    <col min="15382" max="15382" width="8.42578125" customWidth="1"/>
    <col min="15383" max="15383" width="1.5703125" customWidth="1"/>
    <col min="15384" max="15384" width="15.42578125" customWidth="1"/>
    <col min="15385" max="15385" width="14.42578125" customWidth="1"/>
    <col min="15386" max="15386" width="14.5703125" customWidth="1"/>
    <col min="15387" max="15387" width="1.5703125" customWidth="1"/>
    <col min="15621" max="15621" width="18.42578125" customWidth="1"/>
    <col min="15622" max="15622" width="26.42578125" customWidth="1"/>
    <col min="15623" max="15623" width="10.42578125" bestFit="1" customWidth="1"/>
    <col min="15624" max="15624" width="8.5703125" customWidth="1"/>
    <col min="15625" max="15625" width="6" customWidth="1"/>
    <col min="15626" max="15626" width="5.5703125" customWidth="1"/>
    <col min="15627" max="15628" width="5.42578125" customWidth="1"/>
    <col min="15629" max="15629" width="5.5703125" customWidth="1"/>
    <col min="15630" max="15630" width="6.42578125" customWidth="1"/>
    <col min="15631" max="15631" width="5.42578125" customWidth="1"/>
    <col min="15632" max="15632" width="8.42578125" customWidth="1"/>
    <col min="15633" max="15633" width="2.42578125" customWidth="1"/>
    <col min="15634" max="15634" width="8.42578125" customWidth="1"/>
    <col min="15635" max="15635" width="12.42578125" customWidth="1"/>
    <col min="15636" max="15636" width="1.5703125" customWidth="1"/>
    <col min="15637" max="15637" width="7.42578125" customWidth="1"/>
    <col min="15638" max="15638" width="8.42578125" customWidth="1"/>
    <col min="15639" max="15639" width="1.5703125" customWidth="1"/>
    <col min="15640" max="15640" width="15.42578125" customWidth="1"/>
    <col min="15641" max="15641" width="14.42578125" customWidth="1"/>
    <col min="15642" max="15642" width="14.5703125" customWidth="1"/>
    <col min="15643" max="15643" width="1.5703125" customWidth="1"/>
    <col min="15877" max="15877" width="18.42578125" customWidth="1"/>
    <col min="15878" max="15878" width="26.42578125" customWidth="1"/>
    <col min="15879" max="15879" width="10.42578125" bestFit="1" customWidth="1"/>
    <col min="15880" max="15880" width="8.5703125" customWidth="1"/>
    <col min="15881" max="15881" width="6" customWidth="1"/>
    <col min="15882" max="15882" width="5.5703125" customWidth="1"/>
    <col min="15883" max="15884" width="5.42578125" customWidth="1"/>
    <col min="15885" max="15885" width="5.5703125" customWidth="1"/>
    <col min="15886" max="15886" width="6.42578125" customWidth="1"/>
    <col min="15887" max="15887" width="5.42578125" customWidth="1"/>
    <col min="15888" max="15888" width="8.42578125" customWidth="1"/>
    <col min="15889" max="15889" width="2.42578125" customWidth="1"/>
    <col min="15890" max="15890" width="8.42578125" customWidth="1"/>
    <col min="15891" max="15891" width="12.42578125" customWidth="1"/>
    <col min="15892" max="15892" width="1.5703125" customWidth="1"/>
    <col min="15893" max="15893" width="7.42578125" customWidth="1"/>
    <col min="15894" max="15894" width="8.42578125" customWidth="1"/>
    <col min="15895" max="15895" width="1.5703125" customWidth="1"/>
    <col min="15896" max="15896" width="15.42578125" customWidth="1"/>
    <col min="15897" max="15897" width="14.42578125" customWidth="1"/>
    <col min="15898" max="15898" width="14.5703125" customWidth="1"/>
    <col min="15899" max="15899" width="1.5703125" customWidth="1"/>
    <col min="16133" max="16133" width="18.42578125" customWidth="1"/>
    <col min="16134" max="16134" width="26.42578125" customWidth="1"/>
    <col min="16135" max="16135" width="10.42578125" bestFit="1" customWidth="1"/>
    <col min="16136" max="16136" width="8.5703125" customWidth="1"/>
    <col min="16137" max="16137" width="6" customWidth="1"/>
    <col min="16138" max="16138" width="5.5703125" customWidth="1"/>
    <col min="16139" max="16140" width="5.42578125" customWidth="1"/>
    <col min="16141" max="16141" width="5.5703125" customWidth="1"/>
    <col min="16142" max="16142" width="6.42578125" customWidth="1"/>
    <col min="16143" max="16143" width="5.42578125" customWidth="1"/>
    <col min="16144" max="16144" width="8.42578125" customWidth="1"/>
    <col min="16145" max="16145" width="2.42578125" customWidth="1"/>
    <col min="16146" max="16146" width="8.42578125" customWidth="1"/>
    <col min="16147" max="16147" width="12.42578125" customWidth="1"/>
    <col min="16148" max="16148" width="1.5703125" customWidth="1"/>
    <col min="16149" max="16149" width="7.42578125" customWidth="1"/>
    <col min="16150" max="16150" width="8.42578125" customWidth="1"/>
    <col min="16151" max="16151" width="1.5703125" customWidth="1"/>
    <col min="16152" max="16152" width="15.42578125" customWidth="1"/>
    <col min="16153" max="16153" width="14.42578125" customWidth="1"/>
    <col min="16154" max="16154" width="14.5703125" customWidth="1"/>
    <col min="16155" max="16155" width="1.5703125" customWidth="1"/>
  </cols>
  <sheetData>
    <row r="1" spans="2:32" s="1" customFormat="1" ht="25.5" customHeight="1" thickBot="1" x14ac:dyDescent="0.35">
      <c r="B1" s="7"/>
      <c r="C1" s="8"/>
      <c r="D1" s="9"/>
      <c r="O1" s="19"/>
      <c r="P1" s="5"/>
      <c r="Q1" s="5"/>
      <c r="R1" s="5"/>
      <c r="S1" s="30"/>
      <c r="T1" s="180" t="s">
        <v>0</v>
      </c>
      <c r="U1" s="180"/>
      <c r="V1" s="5"/>
      <c r="W1" s="5"/>
      <c r="X1" s="5"/>
      <c r="Y1" s="5"/>
      <c r="Z1" s="5"/>
      <c r="AB1" s="5"/>
      <c r="AF1" s="43"/>
    </row>
    <row r="2" spans="2:32" ht="15" customHeight="1" x14ac:dyDescent="0.25">
      <c r="B2" s="181" t="s">
        <v>1</v>
      </c>
      <c r="C2" s="184" t="s">
        <v>2</v>
      </c>
      <c r="D2" s="187" t="s">
        <v>3</v>
      </c>
      <c r="E2" s="190" t="s">
        <v>4</v>
      </c>
      <c r="F2" s="193" t="s">
        <v>5</v>
      </c>
      <c r="G2" s="193" t="s">
        <v>68</v>
      </c>
      <c r="H2" s="193" t="s">
        <v>7</v>
      </c>
      <c r="I2" s="193" t="s">
        <v>8</v>
      </c>
      <c r="J2" s="193" t="s">
        <v>9</v>
      </c>
      <c r="K2" s="197" t="s">
        <v>10</v>
      </c>
      <c r="L2" s="197" t="s">
        <v>11</v>
      </c>
      <c r="M2" s="200" t="s">
        <v>12</v>
      </c>
      <c r="N2" s="197" t="s">
        <v>69</v>
      </c>
      <c r="O2" s="197" t="s">
        <v>70</v>
      </c>
      <c r="P2" s="203" t="s">
        <v>15</v>
      </c>
      <c r="Q2" s="203" t="s">
        <v>16</v>
      </c>
      <c r="R2" s="10"/>
      <c r="S2" s="206" t="s">
        <v>17</v>
      </c>
      <c r="T2" s="209" t="s">
        <v>18</v>
      </c>
      <c r="U2" s="212" t="s">
        <v>19</v>
      </c>
      <c r="V2" s="215" t="s">
        <v>20</v>
      </c>
      <c r="W2" s="184" t="s">
        <v>21</v>
      </c>
      <c r="X2" s="184" t="s">
        <v>22</v>
      </c>
      <c r="Y2" s="184" t="s">
        <v>23</v>
      </c>
      <c r="Z2" s="184" t="s">
        <v>24</v>
      </c>
      <c r="AB2" s="10"/>
      <c r="AC2" s="184" t="s">
        <v>25</v>
      </c>
      <c r="AD2" s="40" t="s">
        <v>26</v>
      </c>
    </row>
    <row r="3" spans="2:32" x14ac:dyDescent="0.25">
      <c r="B3" s="182"/>
      <c r="C3" s="185"/>
      <c r="D3" s="188"/>
      <c r="E3" s="191"/>
      <c r="F3" s="194"/>
      <c r="G3" s="194"/>
      <c r="H3" s="194"/>
      <c r="I3" s="194"/>
      <c r="J3" s="194"/>
      <c r="K3" s="198"/>
      <c r="L3" s="198"/>
      <c r="M3" s="201"/>
      <c r="N3" s="198"/>
      <c r="O3" s="198"/>
      <c r="P3" s="204"/>
      <c r="Q3" s="204"/>
      <c r="R3" s="10"/>
      <c r="S3" s="207"/>
      <c r="T3" s="210"/>
      <c r="U3" s="213"/>
      <c r="V3" s="216"/>
      <c r="W3" s="185"/>
      <c r="X3" s="185"/>
      <c r="Y3" s="185"/>
      <c r="Z3" s="185"/>
      <c r="AB3" s="10"/>
      <c r="AC3" s="185"/>
      <c r="AD3" s="196">
        <v>929.9</v>
      </c>
    </row>
    <row r="4" spans="2:32" ht="14.85" customHeight="1" x14ac:dyDescent="0.25">
      <c r="B4" s="182"/>
      <c r="C4" s="185"/>
      <c r="D4" s="188"/>
      <c r="E4" s="191"/>
      <c r="F4" s="194"/>
      <c r="G4" s="194"/>
      <c r="H4" s="194"/>
      <c r="I4" s="194"/>
      <c r="J4" s="194"/>
      <c r="K4" s="198"/>
      <c r="L4" s="198"/>
      <c r="M4" s="201"/>
      <c r="N4" s="198"/>
      <c r="O4" s="198"/>
      <c r="P4" s="204"/>
      <c r="Q4" s="204"/>
      <c r="R4" s="10"/>
      <c r="S4" s="207"/>
      <c r="T4" s="210"/>
      <c r="U4" s="213"/>
      <c r="V4" s="216"/>
      <c r="W4" s="185"/>
      <c r="X4" s="185"/>
      <c r="Y4" s="185"/>
      <c r="Z4" s="185"/>
      <c r="AB4" s="10"/>
      <c r="AC4" s="185"/>
      <c r="AD4" s="196"/>
    </row>
    <row r="5" spans="2:32" s="1" customFormat="1" ht="27.75" customHeight="1" thickBot="1" x14ac:dyDescent="0.3">
      <c r="B5" s="183"/>
      <c r="C5" s="186"/>
      <c r="D5" s="189"/>
      <c r="E5" s="192"/>
      <c r="F5" s="195"/>
      <c r="G5" s="195"/>
      <c r="H5" s="195"/>
      <c r="I5" s="195"/>
      <c r="J5" s="195"/>
      <c r="K5" s="199"/>
      <c r="L5" s="199"/>
      <c r="M5" s="202"/>
      <c r="N5" s="199"/>
      <c r="O5" s="199"/>
      <c r="P5" s="205"/>
      <c r="Q5" s="205"/>
      <c r="R5" s="10"/>
      <c r="S5" s="208"/>
      <c r="T5" s="211"/>
      <c r="U5" s="214"/>
      <c r="V5" s="217"/>
      <c r="W5" s="186"/>
      <c r="X5" s="186"/>
      <c r="Y5" s="186"/>
      <c r="Z5" s="186"/>
      <c r="AB5" s="10"/>
      <c r="AC5" s="186"/>
      <c r="AD5" s="196"/>
      <c r="AF5" s="43"/>
    </row>
    <row r="6" spans="2:32" s="1" customFormat="1" x14ac:dyDescent="0.25">
      <c r="B6" s="7"/>
      <c r="C6" s="77"/>
      <c r="D6" s="77"/>
      <c r="E6" s="72"/>
      <c r="F6" s="72"/>
      <c r="G6" s="72"/>
      <c r="H6" s="72"/>
      <c r="I6" s="72"/>
      <c r="J6" s="72"/>
      <c r="K6" s="73"/>
      <c r="L6" s="73"/>
      <c r="M6" s="74"/>
      <c r="N6" s="73"/>
      <c r="O6" s="73"/>
      <c r="P6" s="14"/>
      <c r="Q6" s="14"/>
      <c r="R6" s="14"/>
      <c r="S6" s="75"/>
      <c r="T6" s="88"/>
      <c r="U6" s="14"/>
      <c r="V6" s="107"/>
      <c r="W6" s="14"/>
      <c r="X6" s="14"/>
      <c r="Y6" s="14"/>
      <c r="Z6" s="14"/>
      <c r="AB6" s="14"/>
      <c r="AC6" s="14"/>
      <c r="AD6" s="76"/>
      <c r="AF6" s="43"/>
    </row>
    <row r="7" spans="2:32" s="1" customFormat="1" ht="15.6" customHeight="1" x14ac:dyDescent="0.25"/>
    <row r="8" spans="2:32" s="1" customFormat="1" ht="15.6" customHeight="1" x14ac:dyDescent="0.25"/>
    <row r="9" spans="2:32" s="1" customFormat="1" ht="19.5" customHeight="1" thickBot="1" x14ac:dyDescent="0.3">
      <c r="S9" s="31"/>
      <c r="Z9" s="2"/>
      <c r="AF9" s="43"/>
    </row>
    <row r="10" spans="2:32" s="1" customFormat="1" ht="14.85" customHeight="1" x14ac:dyDescent="0.25">
      <c r="B10" s="181" t="s">
        <v>71</v>
      </c>
      <c r="C10" s="184" t="s">
        <v>2</v>
      </c>
      <c r="D10" s="187" t="s">
        <v>72</v>
      </c>
      <c r="E10" s="190" t="s">
        <v>4</v>
      </c>
      <c r="F10" s="197" t="s">
        <v>73</v>
      </c>
      <c r="G10" s="193" t="s">
        <v>74</v>
      </c>
      <c r="H10" s="193" t="s">
        <v>7</v>
      </c>
      <c r="I10" s="193" t="s">
        <v>75</v>
      </c>
      <c r="J10" s="193" t="s">
        <v>9</v>
      </c>
      <c r="K10" s="197" t="s">
        <v>76</v>
      </c>
      <c r="L10" s="197" t="s">
        <v>77</v>
      </c>
      <c r="M10" s="130"/>
      <c r="N10" s="197" t="s">
        <v>69</v>
      </c>
      <c r="O10" s="197" t="s">
        <v>78</v>
      </c>
      <c r="P10" s="203" t="s">
        <v>79</v>
      </c>
      <c r="Q10" s="14"/>
      <c r="S10" s="206" t="s">
        <v>80</v>
      </c>
      <c r="T10" s="209" t="s">
        <v>81</v>
      </c>
      <c r="U10" s="118"/>
      <c r="W10" s="184" t="s">
        <v>82</v>
      </c>
      <c r="X10" s="37"/>
      <c r="Y10" s="37"/>
      <c r="Z10" s="184" t="s">
        <v>83</v>
      </c>
      <c r="AC10" s="184" t="s">
        <v>25</v>
      </c>
      <c r="AF10" s="43"/>
    </row>
    <row r="11" spans="2:32" s="1" customFormat="1" ht="23.25" x14ac:dyDescent="0.25">
      <c r="B11" s="182"/>
      <c r="C11" s="185"/>
      <c r="D11" s="188"/>
      <c r="E11" s="191"/>
      <c r="F11" s="198"/>
      <c r="G11" s="194"/>
      <c r="H11" s="194"/>
      <c r="I11" s="194"/>
      <c r="J11" s="194"/>
      <c r="K11" s="198"/>
      <c r="L11" s="198"/>
      <c r="M11" s="131" t="s">
        <v>84</v>
      </c>
      <c r="N11" s="198"/>
      <c r="O11" s="198"/>
      <c r="P11" s="204"/>
      <c r="Q11" s="14"/>
      <c r="S11" s="207"/>
      <c r="T11" s="210"/>
      <c r="U11" s="10"/>
      <c r="W11" s="185"/>
      <c r="X11" s="38"/>
      <c r="Y11" s="38"/>
      <c r="Z11" s="185"/>
      <c r="AC11" s="185"/>
      <c r="AF11" s="43"/>
    </row>
    <row r="12" spans="2:32" s="1" customFormat="1" x14ac:dyDescent="0.25">
      <c r="B12" s="182"/>
      <c r="C12" s="185"/>
      <c r="D12" s="188"/>
      <c r="E12" s="191"/>
      <c r="F12" s="198"/>
      <c r="G12" s="194"/>
      <c r="H12" s="194"/>
      <c r="I12" s="194"/>
      <c r="J12" s="194"/>
      <c r="K12" s="198"/>
      <c r="L12" s="198"/>
      <c r="M12" s="131"/>
      <c r="N12" s="198"/>
      <c r="O12" s="198"/>
      <c r="P12" s="204"/>
      <c r="Q12" s="14"/>
      <c r="S12" s="207"/>
      <c r="T12" s="210"/>
      <c r="U12" s="10"/>
      <c r="W12" s="185"/>
      <c r="X12" s="38"/>
      <c r="Y12" s="38"/>
      <c r="Z12" s="185"/>
      <c r="AC12" s="185"/>
      <c r="AF12" s="43"/>
    </row>
    <row r="13" spans="2:32" s="1" customFormat="1" ht="15.75" thickBot="1" x14ac:dyDescent="0.3">
      <c r="B13" s="183"/>
      <c r="C13" s="186"/>
      <c r="D13" s="189"/>
      <c r="E13" s="192"/>
      <c r="F13" s="199"/>
      <c r="G13" s="195"/>
      <c r="H13" s="195"/>
      <c r="I13" s="195"/>
      <c r="J13" s="195"/>
      <c r="K13" s="199"/>
      <c r="L13" s="199"/>
      <c r="M13" s="132"/>
      <c r="N13" s="199"/>
      <c r="O13" s="199"/>
      <c r="P13" s="205"/>
      <c r="Q13" s="14"/>
      <c r="S13" s="208"/>
      <c r="T13" s="211"/>
      <c r="U13" s="119"/>
      <c r="W13" s="186"/>
      <c r="X13" s="39"/>
      <c r="Y13" s="39"/>
      <c r="Z13" s="186"/>
      <c r="AC13" s="186"/>
      <c r="AF13" s="43"/>
    </row>
    <row r="14" spans="2:32" s="1" customFormat="1" ht="15.75" thickBot="1" x14ac:dyDescent="0.3">
      <c r="B14" s="23" t="s">
        <v>85</v>
      </c>
      <c r="C14" s="24"/>
      <c r="D14" s="25">
        <v>205270</v>
      </c>
      <c r="E14" s="26">
        <v>0</v>
      </c>
      <c r="F14" s="27"/>
      <c r="G14" s="27"/>
      <c r="H14" s="27"/>
      <c r="I14" s="27">
        <v>17800</v>
      </c>
      <c r="J14" s="27"/>
      <c r="K14" s="27"/>
      <c r="L14" s="27">
        <v>18000</v>
      </c>
      <c r="M14" s="49"/>
      <c r="N14" s="28"/>
      <c r="O14" s="28"/>
      <c r="P14" s="22">
        <f t="shared" ref="P14:P31" si="0">SUM(D14:O14)</f>
        <v>241070</v>
      </c>
      <c r="Q14" s="15"/>
      <c r="S14" s="32">
        <v>0.12146501475527925</v>
      </c>
      <c r="T14" s="60">
        <f t="shared" ref="T14:T31" si="1">(P14/(1-S14))</f>
        <v>274400.0000556024</v>
      </c>
      <c r="U14" s="109"/>
      <c r="W14" s="36"/>
      <c r="X14" s="36"/>
      <c r="Y14" s="36"/>
      <c r="Z14" s="62"/>
      <c r="AC14" s="18" t="s">
        <v>86</v>
      </c>
      <c r="AD14" s="2">
        <f>+Z14-P14</f>
        <v>-241070</v>
      </c>
      <c r="AF14" s="43"/>
    </row>
    <row r="15" spans="2:32" s="1" customFormat="1" ht="15.75" thickBot="1" x14ac:dyDescent="0.3">
      <c r="B15" s="23" t="s">
        <v>87</v>
      </c>
      <c r="C15" s="24"/>
      <c r="D15" s="25">
        <v>199129</v>
      </c>
      <c r="E15" s="26">
        <v>0</v>
      </c>
      <c r="F15" s="27"/>
      <c r="G15" s="27"/>
      <c r="H15" s="27"/>
      <c r="I15" s="27">
        <v>17800</v>
      </c>
      <c r="J15" s="27"/>
      <c r="K15" s="27"/>
      <c r="L15" s="27">
        <v>18000</v>
      </c>
      <c r="M15" s="49"/>
      <c r="N15" s="28"/>
      <c r="O15" s="28"/>
      <c r="P15" s="22">
        <f t="shared" si="0"/>
        <v>234929</v>
      </c>
      <c r="Q15" s="15"/>
      <c r="S15" s="32">
        <v>0.13459328472027468</v>
      </c>
      <c r="T15" s="60">
        <f t="shared" si="1"/>
        <v>271466.57849085896</v>
      </c>
      <c r="U15" s="109"/>
      <c r="W15" s="36"/>
      <c r="X15" s="36"/>
      <c r="Y15" s="36"/>
      <c r="Z15" s="62"/>
      <c r="AC15" s="18"/>
      <c r="AD15" s="2"/>
      <c r="AF15" s="43"/>
    </row>
    <row r="16" spans="2:32" s="1" customFormat="1" ht="15.75" thickBot="1" x14ac:dyDescent="0.3">
      <c r="B16" s="23" t="s">
        <v>88</v>
      </c>
      <c r="C16" s="24"/>
      <c r="D16" s="25">
        <v>172000</v>
      </c>
      <c r="E16" s="26">
        <v>0</v>
      </c>
      <c r="F16" s="27"/>
      <c r="G16" s="27"/>
      <c r="H16" s="27"/>
      <c r="I16" s="27">
        <v>17800</v>
      </c>
      <c r="J16" s="27"/>
      <c r="K16" s="27"/>
      <c r="L16" s="27">
        <v>24000</v>
      </c>
      <c r="M16" s="49"/>
      <c r="N16" s="28"/>
      <c r="O16" s="28"/>
      <c r="P16" s="22">
        <f t="shared" si="0"/>
        <v>213800</v>
      </c>
      <c r="Q16" s="15"/>
      <c r="S16" s="32">
        <v>0.10916666670711382</v>
      </c>
      <c r="T16" s="60">
        <f t="shared" si="1"/>
        <v>240000.00001089691</v>
      </c>
      <c r="U16" s="109"/>
      <c r="W16" s="36"/>
      <c r="X16" s="36"/>
      <c r="Y16" s="36"/>
      <c r="Z16" s="62"/>
      <c r="AC16" s="18"/>
      <c r="AD16" s="2"/>
      <c r="AF16" s="43"/>
    </row>
    <row r="17" spans="1:41" s="1" customFormat="1" ht="15.75" thickBot="1" x14ac:dyDescent="0.3">
      <c r="B17" s="23" t="s">
        <v>89</v>
      </c>
      <c r="C17" s="24"/>
      <c r="D17" s="25">
        <v>164500</v>
      </c>
      <c r="E17" s="26">
        <v>0</v>
      </c>
      <c r="F17" s="27"/>
      <c r="G17" s="27"/>
      <c r="H17" s="27"/>
      <c r="I17" s="27">
        <v>17800</v>
      </c>
      <c r="J17" s="27"/>
      <c r="K17" s="27"/>
      <c r="L17" s="27">
        <v>18000</v>
      </c>
      <c r="M17" s="49"/>
      <c r="N17" s="28"/>
      <c r="O17" s="28"/>
      <c r="P17" s="22">
        <f t="shared" si="0"/>
        <v>200300</v>
      </c>
      <c r="Q17" s="15"/>
      <c r="S17" s="32">
        <v>0.13</v>
      </c>
      <c r="T17" s="60">
        <f t="shared" si="1"/>
        <v>230229.88505747126</v>
      </c>
      <c r="U17" s="109"/>
      <c r="W17" s="36"/>
      <c r="X17" s="36"/>
      <c r="Y17" s="36"/>
      <c r="Z17" s="62"/>
      <c r="AC17" s="18"/>
      <c r="AD17" s="2"/>
      <c r="AF17" s="43"/>
    </row>
    <row r="18" spans="1:41" s="1" customFormat="1" ht="15.75" thickBot="1" x14ac:dyDescent="0.3">
      <c r="B18" s="23" t="s">
        <v>90</v>
      </c>
      <c r="C18" s="24"/>
      <c r="D18" s="25"/>
      <c r="E18" s="26"/>
      <c r="F18" s="27"/>
      <c r="G18" s="27"/>
      <c r="H18" s="27"/>
      <c r="I18" s="27"/>
      <c r="J18" s="27"/>
      <c r="K18" s="27"/>
      <c r="L18" s="27"/>
      <c r="M18" s="49"/>
      <c r="N18" s="28"/>
      <c r="O18" s="28"/>
      <c r="P18" s="22"/>
      <c r="Q18" s="15"/>
      <c r="S18" s="32"/>
      <c r="T18" s="60"/>
      <c r="U18" s="109"/>
      <c r="W18" s="36"/>
      <c r="X18" s="36"/>
      <c r="Y18" s="36"/>
      <c r="Z18" s="62"/>
      <c r="AC18" s="18"/>
      <c r="AD18" s="2"/>
      <c r="AF18" s="43"/>
    </row>
    <row r="19" spans="1:41" s="1" customFormat="1" ht="15.75" thickBot="1" x14ac:dyDescent="0.3">
      <c r="B19" s="23" t="s">
        <v>91</v>
      </c>
      <c r="C19" s="24"/>
      <c r="D19" s="25"/>
      <c r="E19" s="26"/>
      <c r="F19" s="27"/>
      <c r="G19" s="27"/>
      <c r="H19" s="27"/>
      <c r="I19" s="27"/>
      <c r="J19" s="27"/>
      <c r="K19" s="27"/>
      <c r="L19" s="27"/>
      <c r="M19" s="49"/>
      <c r="N19" s="28"/>
      <c r="O19" s="28"/>
      <c r="P19" s="22"/>
      <c r="Q19" s="15"/>
      <c r="S19" s="32"/>
      <c r="T19" s="60"/>
      <c r="U19" s="109"/>
      <c r="W19" s="36"/>
      <c r="X19" s="36"/>
      <c r="Y19" s="36"/>
      <c r="Z19" s="62"/>
      <c r="AC19" s="18"/>
      <c r="AD19" s="2"/>
      <c r="AF19" s="43"/>
    </row>
    <row r="20" spans="1:41" s="1" customFormat="1" ht="15.75" thickBot="1" x14ac:dyDescent="0.3">
      <c r="B20" s="23" t="s">
        <v>92</v>
      </c>
      <c r="C20" s="24"/>
      <c r="D20" s="25">
        <v>125000</v>
      </c>
      <c r="E20" s="26">
        <v>0</v>
      </c>
      <c r="F20" s="27"/>
      <c r="G20" s="27"/>
      <c r="H20" s="27"/>
      <c r="I20" s="27">
        <v>17800</v>
      </c>
      <c r="J20" s="27"/>
      <c r="K20" s="27"/>
      <c r="L20" s="27">
        <v>18000</v>
      </c>
      <c r="M20" s="49"/>
      <c r="N20" s="28"/>
      <c r="O20" s="28"/>
      <c r="P20" s="22">
        <f t="shared" si="0"/>
        <v>160800</v>
      </c>
      <c r="Q20" s="15"/>
      <c r="S20" s="32">
        <v>0.15161290322659454</v>
      </c>
      <c r="T20" s="60">
        <f t="shared" si="1"/>
        <v>189536.12167317985</v>
      </c>
      <c r="U20" s="109"/>
      <c r="W20" s="36"/>
      <c r="X20" s="36"/>
      <c r="Y20" s="36"/>
      <c r="Z20" s="62"/>
      <c r="AC20" s="18"/>
      <c r="AD20" s="2"/>
      <c r="AF20" s="43"/>
    </row>
    <row r="21" spans="1:41" s="1" customFormat="1" ht="15.75" thickBot="1" x14ac:dyDescent="0.3">
      <c r="B21" s="23" t="s">
        <v>93</v>
      </c>
      <c r="C21" s="24"/>
      <c r="D21" s="25">
        <v>121000</v>
      </c>
      <c r="E21" s="26">
        <v>0</v>
      </c>
      <c r="F21" s="27"/>
      <c r="G21" s="27"/>
      <c r="H21" s="27"/>
      <c r="I21" s="27">
        <v>17800</v>
      </c>
      <c r="J21" s="27"/>
      <c r="K21" s="27"/>
      <c r="L21" s="27">
        <v>18000</v>
      </c>
      <c r="M21" s="49"/>
      <c r="N21" s="28"/>
      <c r="O21" s="28"/>
      <c r="P21" s="22">
        <f t="shared" si="0"/>
        <v>156800</v>
      </c>
      <c r="Q21" s="15"/>
      <c r="S21" s="32">
        <v>0.12304250559290861</v>
      </c>
      <c r="T21" s="60">
        <f t="shared" si="1"/>
        <v>178800.00000001377</v>
      </c>
      <c r="U21" s="109"/>
      <c r="W21" s="36"/>
      <c r="X21" s="36"/>
      <c r="Y21" s="36"/>
      <c r="Z21" s="62"/>
      <c r="AC21" s="18"/>
      <c r="AD21" s="2"/>
      <c r="AF21" s="43"/>
    </row>
    <row r="22" spans="1:41" s="1" customFormat="1" ht="15.75" thickBot="1" x14ac:dyDescent="0.3">
      <c r="B22" s="51" t="s">
        <v>94</v>
      </c>
      <c r="C22" s="52" t="s">
        <v>95</v>
      </c>
      <c r="D22" s="53">
        <v>22000</v>
      </c>
      <c r="E22" s="54">
        <v>0</v>
      </c>
      <c r="F22" s="55">
        <f>+D22*0.01</f>
        <v>220</v>
      </c>
      <c r="G22" s="55"/>
      <c r="H22" s="55">
        <v>500</v>
      </c>
      <c r="I22" s="55"/>
      <c r="J22" s="55"/>
      <c r="K22" s="55"/>
      <c r="L22" s="55"/>
      <c r="M22" s="56"/>
      <c r="N22" s="57"/>
      <c r="O22" s="57"/>
      <c r="P22" s="58">
        <f t="shared" si="0"/>
        <v>22720</v>
      </c>
      <c r="Q22" s="71"/>
      <c r="S22" s="59">
        <v>0.33</v>
      </c>
      <c r="T22" s="60">
        <f t="shared" si="1"/>
        <v>33910.447761194031</v>
      </c>
      <c r="U22" s="120"/>
      <c r="W22" s="62"/>
      <c r="X22" s="62"/>
      <c r="Y22" s="62"/>
      <c r="Z22" s="62"/>
      <c r="AC22" s="63" t="s">
        <v>86</v>
      </c>
      <c r="AD22" s="2"/>
      <c r="AF22" s="43"/>
    </row>
    <row r="23" spans="1:41" s="1" customFormat="1" ht="15.75" thickBot="1" x14ac:dyDescent="0.3">
      <c r="B23" s="51" t="s">
        <v>94</v>
      </c>
      <c r="C23" s="52" t="s">
        <v>96</v>
      </c>
      <c r="D23" s="53">
        <v>23000</v>
      </c>
      <c r="E23" s="54">
        <v>0</v>
      </c>
      <c r="F23" s="55">
        <f>+D23*0.01</f>
        <v>230</v>
      </c>
      <c r="G23" s="55"/>
      <c r="H23" s="55">
        <v>500</v>
      </c>
      <c r="I23" s="55"/>
      <c r="J23" s="55"/>
      <c r="K23" s="55"/>
      <c r="L23" s="55"/>
      <c r="M23" s="56"/>
      <c r="N23" s="57"/>
      <c r="O23" s="57"/>
      <c r="P23" s="58">
        <f t="shared" si="0"/>
        <v>23730</v>
      </c>
      <c r="Q23" s="71"/>
      <c r="S23" s="59">
        <v>0.35</v>
      </c>
      <c r="T23" s="60">
        <f t="shared" si="1"/>
        <v>36507.692307692305</v>
      </c>
      <c r="U23" s="120"/>
      <c r="W23" s="62"/>
      <c r="X23" s="62"/>
      <c r="Y23" s="62"/>
      <c r="Z23" s="62"/>
      <c r="AC23" s="63" t="s">
        <v>86</v>
      </c>
      <c r="AD23" s="2"/>
      <c r="AF23" s="43"/>
    </row>
    <row r="24" spans="1:41" s="1" customFormat="1" ht="15.75" thickBot="1" x14ac:dyDescent="0.3">
      <c r="B24" s="23" t="s">
        <v>97</v>
      </c>
      <c r="C24" s="24" t="s">
        <v>98</v>
      </c>
      <c r="D24" s="25">
        <v>159000</v>
      </c>
      <c r="E24" s="26">
        <v>0</v>
      </c>
      <c r="F24" s="27">
        <f>+D24*0.01</f>
        <v>1590</v>
      </c>
      <c r="G24" s="27"/>
      <c r="H24" s="27">
        <v>700</v>
      </c>
      <c r="I24" s="27"/>
      <c r="J24" s="27"/>
      <c r="K24" s="27"/>
      <c r="L24" s="27"/>
      <c r="M24" s="49"/>
      <c r="N24" s="28"/>
      <c r="O24" s="28"/>
      <c r="P24" s="22">
        <f t="shared" si="0"/>
        <v>161290</v>
      </c>
      <c r="Q24" s="15"/>
      <c r="S24" s="32">
        <v>0.1258</v>
      </c>
      <c r="T24" s="60">
        <f t="shared" si="1"/>
        <v>184500.11439029971</v>
      </c>
      <c r="U24" s="109"/>
      <c r="W24" s="36"/>
      <c r="X24" s="36"/>
      <c r="Y24" s="36"/>
      <c r="Z24" s="62"/>
      <c r="AC24" s="18" t="s">
        <v>86</v>
      </c>
      <c r="AD24" s="2"/>
      <c r="AF24" s="43"/>
    </row>
    <row r="25" spans="1:41" s="1" customFormat="1" ht="15.75" thickBot="1" x14ac:dyDescent="0.3">
      <c r="B25" s="23" t="s">
        <v>99</v>
      </c>
      <c r="C25" s="24" t="s">
        <v>100</v>
      </c>
      <c r="D25" s="25">
        <v>155500</v>
      </c>
      <c r="E25" s="26">
        <v>0</v>
      </c>
      <c r="F25" s="27">
        <f t="shared" ref="F25:F31" si="2">+D25*0.01</f>
        <v>1555</v>
      </c>
      <c r="G25" s="27"/>
      <c r="H25" s="27">
        <v>700</v>
      </c>
      <c r="I25" s="27"/>
      <c r="J25" s="27"/>
      <c r="K25" s="27"/>
      <c r="L25" s="27"/>
      <c r="M25" s="49"/>
      <c r="N25" s="28"/>
      <c r="O25" s="28"/>
      <c r="P25" s="22">
        <f t="shared" si="0"/>
        <v>157755</v>
      </c>
      <c r="Q25" s="15"/>
      <c r="S25" s="32">
        <v>0.1258</v>
      </c>
      <c r="T25" s="60">
        <f t="shared" si="1"/>
        <v>180456.41729581333</v>
      </c>
      <c r="U25" s="109"/>
      <c r="W25" s="36"/>
      <c r="X25" s="36"/>
      <c r="Y25" s="36"/>
      <c r="Z25" s="62"/>
      <c r="AC25" s="18" t="s">
        <v>86</v>
      </c>
      <c r="AD25" s="2"/>
      <c r="AF25" s="43"/>
    </row>
    <row r="26" spans="1:41" s="1" customFormat="1" ht="15.75" thickBot="1" x14ac:dyDescent="0.3">
      <c r="B26" s="23" t="s">
        <v>101</v>
      </c>
      <c r="C26" s="24" t="s">
        <v>102</v>
      </c>
      <c r="D26" s="25">
        <v>143500</v>
      </c>
      <c r="E26" s="26">
        <v>0</v>
      </c>
      <c r="F26" s="27">
        <f t="shared" si="2"/>
        <v>1435</v>
      </c>
      <c r="G26" s="27"/>
      <c r="H26" s="27">
        <v>700</v>
      </c>
      <c r="I26" s="27"/>
      <c r="J26" s="27"/>
      <c r="K26" s="27"/>
      <c r="L26" s="27"/>
      <c r="M26" s="49"/>
      <c r="N26" s="28"/>
      <c r="O26" s="28"/>
      <c r="P26" s="22">
        <f t="shared" si="0"/>
        <v>145635</v>
      </c>
      <c r="Q26" s="15"/>
      <c r="S26" s="32">
        <v>0.1258</v>
      </c>
      <c r="T26" s="60">
        <f t="shared" si="1"/>
        <v>166592.31297186</v>
      </c>
      <c r="U26" s="109"/>
      <c r="W26" s="36"/>
      <c r="X26" s="36"/>
      <c r="Y26" s="36"/>
      <c r="Z26" s="62"/>
      <c r="AC26" s="18" t="s">
        <v>86</v>
      </c>
      <c r="AD26" s="2"/>
      <c r="AF26" s="43"/>
    </row>
    <row r="27" spans="1:41" s="1" customFormat="1" ht="15.75" thickBot="1" x14ac:dyDescent="0.3">
      <c r="B27" s="23" t="s">
        <v>103</v>
      </c>
      <c r="C27" s="24" t="s">
        <v>104</v>
      </c>
      <c r="D27" s="25">
        <v>139700</v>
      </c>
      <c r="E27" s="26">
        <v>0</v>
      </c>
      <c r="F27" s="27">
        <f t="shared" si="2"/>
        <v>1397</v>
      </c>
      <c r="G27" s="27"/>
      <c r="H27" s="27">
        <v>700</v>
      </c>
      <c r="I27" s="27"/>
      <c r="J27" s="27"/>
      <c r="K27" s="27"/>
      <c r="L27" s="27"/>
      <c r="M27" s="49"/>
      <c r="N27" s="28"/>
      <c r="O27" s="28"/>
      <c r="P27" s="22">
        <f t="shared" si="0"/>
        <v>141797</v>
      </c>
      <c r="Q27" s="15"/>
      <c r="S27" s="32">
        <v>0.1258</v>
      </c>
      <c r="T27" s="60">
        <f t="shared" si="1"/>
        <v>162202.01326927476</v>
      </c>
      <c r="U27" s="109"/>
      <c r="W27" s="36"/>
      <c r="X27" s="36"/>
      <c r="Y27" s="36"/>
      <c r="Z27" s="62"/>
      <c r="AC27" s="18" t="s">
        <v>86</v>
      </c>
      <c r="AD27" s="2"/>
      <c r="AF27" s="43"/>
    </row>
    <row r="28" spans="1:41" s="1" customFormat="1" ht="15.75" thickBot="1" x14ac:dyDescent="0.3">
      <c r="B28" s="23" t="s">
        <v>105</v>
      </c>
      <c r="C28" s="24" t="s">
        <v>106</v>
      </c>
      <c r="D28" s="25">
        <v>109600</v>
      </c>
      <c r="E28" s="26">
        <v>0</v>
      </c>
      <c r="F28" s="27">
        <f t="shared" si="2"/>
        <v>1096</v>
      </c>
      <c r="G28" s="27"/>
      <c r="H28" s="27">
        <v>700</v>
      </c>
      <c r="I28" s="27"/>
      <c r="J28" s="27"/>
      <c r="K28" s="27"/>
      <c r="L28" s="27"/>
      <c r="M28" s="49"/>
      <c r="N28" s="28"/>
      <c r="O28" s="28"/>
      <c r="P28" s="22">
        <f t="shared" si="0"/>
        <v>111396</v>
      </c>
      <c r="Q28" s="15"/>
      <c r="S28" s="32">
        <v>0.1258</v>
      </c>
      <c r="T28" s="60">
        <f t="shared" si="1"/>
        <v>127426.21825669183</v>
      </c>
      <c r="U28" s="109"/>
      <c r="W28" s="36"/>
      <c r="X28" s="36"/>
      <c r="Y28" s="36"/>
      <c r="Z28" s="62"/>
      <c r="AC28" s="18" t="s">
        <v>86</v>
      </c>
      <c r="AD28" s="2"/>
      <c r="AF28" s="43"/>
    </row>
    <row r="29" spans="1:41" s="1" customFormat="1" ht="15.75" thickBot="1" x14ac:dyDescent="0.3">
      <c r="B29" s="23" t="s">
        <v>105</v>
      </c>
      <c r="C29" s="24" t="s">
        <v>107</v>
      </c>
      <c r="D29" s="25">
        <v>109600</v>
      </c>
      <c r="E29" s="26">
        <v>0</v>
      </c>
      <c r="F29" s="27">
        <f t="shared" si="2"/>
        <v>1096</v>
      </c>
      <c r="G29" s="27"/>
      <c r="H29" s="27">
        <v>700</v>
      </c>
      <c r="I29" s="27"/>
      <c r="J29" s="27"/>
      <c r="K29" s="27"/>
      <c r="L29" s="27"/>
      <c r="M29" s="49"/>
      <c r="N29" s="28"/>
      <c r="O29" s="28"/>
      <c r="P29" s="22">
        <f t="shared" si="0"/>
        <v>111396</v>
      </c>
      <c r="Q29" s="15"/>
      <c r="S29" s="32">
        <v>0.1258</v>
      </c>
      <c r="T29" s="60">
        <f t="shared" si="1"/>
        <v>127426.21825669183</v>
      </c>
      <c r="U29" s="109"/>
      <c r="W29" s="36"/>
      <c r="X29" s="36"/>
      <c r="Y29" s="36"/>
      <c r="Z29" s="62"/>
      <c r="AC29" s="18" t="s">
        <v>86</v>
      </c>
      <c r="AD29" s="2"/>
      <c r="AF29" s="43"/>
    </row>
    <row r="30" spans="1:41" s="46" customFormat="1" ht="15.75" thickBot="1" x14ac:dyDescent="0.3">
      <c r="A30" s="1"/>
      <c r="B30" s="115" t="s">
        <v>108</v>
      </c>
      <c r="C30" s="116" t="s">
        <v>109</v>
      </c>
      <c r="D30" s="117">
        <v>135000</v>
      </c>
      <c r="E30" s="26">
        <v>1000</v>
      </c>
      <c r="F30" s="27">
        <f t="shared" si="2"/>
        <v>1350</v>
      </c>
      <c r="G30" s="27"/>
      <c r="H30" s="27">
        <v>700</v>
      </c>
      <c r="I30" s="27"/>
      <c r="J30" s="27"/>
      <c r="K30" s="27">
        <v>5500</v>
      </c>
      <c r="L30" s="27"/>
      <c r="M30" s="49">
        <v>3300</v>
      </c>
      <c r="N30" s="28"/>
      <c r="O30" s="28"/>
      <c r="P30" s="22">
        <f t="shared" si="0"/>
        <v>146850</v>
      </c>
      <c r="Q30" s="15"/>
      <c r="R30" s="1"/>
      <c r="S30" s="32">
        <v>0.13376941551272059</v>
      </c>
      <c r="T30" s="60">
        <f t="shared" si="1"/>
        <v>169527.60919532794</v>
      </c>
      <c r="U30" s="109"/>
      <c r="V30" s="1"/>
      <c r="W30" s="36"/>
      <c r="X30" s="36"/>
      <c r="Y30" s="36"/>
      <c r="Z30" s="62"/>
      <c r="AA30" s="1"/>
      <c r="AB30" s="1"/>
      <c r="AC30" s="121" t="s">
        <v>86</v>
      </c>
      <c r="AD30" s="2"/>
      <c r="AE30" s="1"/>
      <c r="AF30" s="43"/>
      <c r="AG30" s="1"/>
      <c r="AH30" s="1"/>
      <c r="AI30" s="1"/>
      <c r="AJ30" s="1"/>
      <c r="AK30" s="1"/>
      <c r="AL30" s="1"/>
      <c r="AM30" s="1"/>
      <c r="AN30" s="1"/>
      <c r="AO30" s="1"/>
    </row>
    <row r="31" spans="1:41" s="1" customFormat="1" ht="15.75" thickBot="1" x14ac:dyDescent="0.3">
      <c r="B31" s="23" t="s">
        <v>108</v>
      </c>
      <c r="C31" s="24" t="s">
        <v>110</v>
      </c>
      <c r="D31" s="25">
        <v>145500</v>
      </c>
      <c r="E31" s="26">
        <v>0</v>
      </c>
      <c r="F31" s="27">
        <f t="shared" si="2"/>
        <v>1455</v>
      </c>
      <c r="G31" s="27"/>
      <c r="H31" s="27">
        <v>700</v>
      </c>
      <c r="I31" s="27"/>
      <c r="J31" s="27"/>
      <c r="K31" s="27"/>
      <c r="L31" s="27"/>
      <c r="M31" s="49"/>
      <c r="N31" s="28"/>
      <c r="O31" s="28"/>
      <c r="P31" s="22">
        <f t="shared" si="0"/>
        <v>147655</v>
      </c>
      <c r="Q31" s="15"/>
      <c r="S31" s="32">
        <v>0.13</v>
      </c>
      <c r="T31" s="60">
        <f t="shared" si="1"/>
        <v>169718.3908045977</v>
      </c>
      <c r="U31" s="109"/>
      <c r="W31" s="36"/>
      <c r="X31" s="36"/>
      <c r="Y31" s="36"/>
      <c r="Z31" s="62"/>
      <c r="AC31" s="18" t="s">
        <v>86</v>
      </c>
      <c r="AD31" s="2"/>
      <c r="AF31" s="43"/>
    </row>
    <row r="32" spans="1:41" s="1" customFormat="1" x14ac:dyDescent="0.25">
      <c r="O32" s="19"/>
      <c r="P32" s="3"/>
      <c r="Q32" s="3"/>
      <c r="S32" s="31"/>
      <c r="Z32" s="2"/>
      <c r="AF32" s="43"/>
    </row>
    <row r="33" spans="2:32" s="1" customFormat="1" x14ac:dyDescent="0.25">
      <c r="O33" s="19"/>
      <c r="S33" s="31"/>
      <c r="AF33" s="43"/>
    </row>
    <row r="34" spans="2:32" s="1" customFormat="1" x14ac:dyDescent="0.25">
      <c r="O34" s="19"/>
      <c r="S34" s="31"/>
      <c r="AF34" s="43"/>
    </row>
    <row r="35" spans="2:32" s="1" customFormat="1" x14ac:dyDescent="0.25">
      <c r="O35" s="19"/>
      <c r="S35" s="31"/>
      <c r="AF35" s="43"/>
    </row>
    <row r="36" spans="2:32" s="1" customFormat="1" x14ac:dyDescent="0.25">
      <c r="O36" s="19"/>
      <c r="S36" s="31"/>
      <c r="AF36" s="43"/>
    </row>
    <row r="37" spans="2:32" s="1" customFormat="1" x14ac:dyDescent="0.25">
      <c r="O37" s="19"/>
      <c r="S37" s="31"/>
      <c r="AF37" s="43"/>
    </row>
    <row r="38" spans="2:32" s="1" customFormat="1" x14ac:dyDescent="0.25">
      <c r="B38" s="125"/>
      <c r="C38" s="126"/>
      <c r="D38" s="127"/>
      <c r="E38" s="12"/>
      <c r="F38" s="12"/>
      <c r="G38" s="12"/>
      <c r="H38" s="12"/>
      <c r="I38" s="12"/>
      <c r="J38" s="12"/>
      <c r="K38" s="12"/>
      <c r="L38" s="12"/>
      <c r="M38" s="12"/>
      <c r="N38" s="123"/>
      <c r="O38" s="123"/>
      <c r="P38" s="15"/>
      <c r="Q38" s="124"/>
      <c r="R38" s="112"/>
      <c r="S38" s="128"/>
      <c r="T38" s="129"/>
      <c r="U38" s="129"/>
      <c r="V38" s="12"/>
      <c r="W38" s="128"/>
      <c r="X38" s="128"/>
      <c r="Y38" s="128"/>
      <c r="Z38" s="124"/>
      <c r="AB38" s="12"/>
      <c r="AC38" s="133"/>
      <c r="AD38" s="2"/>
      <c r="AF38" s="43"/>
    </row>
    <row r="39" spans="2:32" s="1" customFormat="1" x14ac:dyDescent="0.25">
      <c r="B39" s="125"/>
      <c r="C39" s="126"/>
      <c r="D39" s="127"/>
      <c r="E39" s="12"/>
      <c r="F39" s="12"/>
      <c r="G39" s="12"/>
      <c r="H39" s="12"/>
      <c r="I39" s="12"/>
      <c r="J39" s="12"/>
      <c r="K39" s="12"/>
      <c r="L39" s="12"/>
      <c r="M39" s="12"/>
      <c r="N39" s="123"/>
      <c r="O39" s="123"/>
      <c r="P39" s="15"/>
      <c r="Q39" s="124"/>
      <c r="R39" s="112"/>
      <c r="S39" s="128"/>
      <c r="T39" s="129"/>
      <c r="U39" s="129"/>
      <c r="V39" s="12"/>
      <c r="W39" s="128"/>
      <c r="X39" s="128"/>
      <c r="Y39" s="128"/>
      <c r="Z39" s="124"/>
      <c r="AB39" s="12"/>
      <c r="AC39" s="133"/>
      <c r="AD39" s="2"/>
      <c r="AF39" s="43"/>
    </row>
    <row r="40" spans="2:32" s="1" customFormat="1" x14ac:dyDescent="0.25">
      <c r="B40" s="125"/>
      <c r="C40" s="126"/>
      <c r="D40" s="127"/>
      <c r="E40" s="12"/>
      <c r="F40" s="12"/>
      <c r="G40" s="12"/>
      <c r="H40" s="12"/>
      <c r="I40" s="12"/>
      <c r="J40" s="12"/>
      <c r="K40" s="12"/>
      <c r="L40" s="12"/>
      <c r="M40" s="12"/>
      <c r="N40" s="123"/>
      <c r="O40" s="123"/>
      <c r="P40" s="15"/>
      <c r="Q40" s="124"/>
      <c r="R40" s="112"/>
      <c r="S40" s="128"/>
      <c r="T40" s="129"/>
      <c r="U40" s="129"/>
      <c r="V40" s="12"/>
      <c r="W40" s="128"/>
      <c r="X40" s="128"/>
      <c r="Y40" s="128"/>
      <c r="Z40" s="124"/>
      <c r="AB40" s="12"/>
      <c r="AC40" s="133"/>
      <c r="AD40" s="2"/>
      <c r="AF40" s="43"/>
    </row>
    <row r="41" spans="2:32" s="1" customFormat="1" x14ac:dyDescent="0.25">
      <c r="B41" s="125"/>
      <c r="C41" s="126"/>
      <c r="D41" s="127"/>
      <c r="E41" s="12"/>
      <c r="F41" s="12"/>
      <c r="G41" s="12"/>
      <c r="H41" s="12"/>
      <c r="I41" s="12"/>
      <c r="J41" s="12"/>
      <c r="K41" s="12"/>
      <c r="L41" s="12"/>
      <c r="M41" s="12"/>
      <c r="N41" s="123"/>
      <c r="O41" s="123"/>
      <c r="P41" s="15"/>
      <c r="Q41" s="124"/>
      <c r="R41" s="112"/>
      <c r="S41" s="128"/>
      <c r="T41" s="129"/>
      <c r="U41" s="129"/>
      <c r="V41" s="12"/>
      <c r="W41" s="128"/>
      <c r="X41" s="128"/>
      <c r="Y41" s="128"/>
      <c r="Z41" s="124"/>
      <c r="AB41" s="12"/>
      <c r="AC41" s="133"/>
      <c r="AD41" s="2"/>
      <c r="AF41" s="43"/>
    </row>
    <row r="42" spans="2:32" s="1" customFormat="1" x14ac:dyDescent="0.25">
      <c r="B42" s="125"/>
      <c r="C42" s="126"/>
      <c r="D42" s="127"/>
      <c r="E42" s="12"/>
      <c r="F42" s="12"/>
      <c r="G42" s="12"/>
      <c r="H42" s="12"/>
      <c r="I42" s="12"/>
      <c r="J42" s="12"/>
      <c r="K42" s="12"/>
      <c r="L42" s="12"/>
      <c r="M42" s="12"/>
      <c r="N42" s="123"/>
      <c r="O42" s="123"/>
      <c r="P42" s="15"/>
      <c r="Q42" s="124"/>
      <c r="R42" s="112"/>
      <c r="S42" s="128"/>
      <c r="T42" s="129"/>
      <c r="U42" s="129"/>
      <c r="V42" s="12"/>
      <c r="W42" s="128"/>
      <c r="X42" s="128"/>
      <c r="Y42" s="128"/>
      <c r="Z42" s="124"/>
      <c r="AB42" s="12"/>
      <c r="AC42" s="133"/>
      <c r="AD42" s="2"/>
      <c r="AF42" s="43"/>
    </row>
    <row r="43" spans="2:32" s="1" customFormat="1" x14ac:dyDescent="0.25">
      <c r="O43" s="19"/>
      <c r="S43" s="31"/>
      <c r="AF43" s="43"/>
    </row>
    <row r="44" spans="2:32" s="1" customFormat="1" x14ac:dyDescent="0.25">
      <c r="O44" s="19"/>
      <c r="S44" s="31"/>
      <c r="AF44" s="43"/>
    </row>
    <row r="45" spans="2:32" s="1" customFormat="1" x14ac:dyDescent="0.25">
      <c r="O45" s="19"/>
      <c r="S45" s="31"/>
      <c r="AF45" s="43"/>
    </row>
    <row r="46" spans="2:32" s="1" customFormat="1" x14ac:dyDescent="0.25">
      <c r="O46" s="19"/>
      <c r="S46" s="31"/>
      <c r="AF46" s="43"/>
    </row>
    <row r="47" spans="2:32" s="1" customFormat="1" x14ac:dyDescent="0.25">
      <c r="O47" s="19"/>
      <c r="S47" s="31"/>
      <c r="AF47" s="43"/>
    </row>
    <row r="48" spans="2:32" s="1" customFormat="1" x14ac:dyDescent="0.25">
      <c r="O48" s="19"/>
      <c r="S48" s="31"/>
      <c r="AF48" s="43"/>
    </row>
    <row r="49" spans="15:32" s="1" customFormat="1" x14ac:dyDescent="0.25">
      <c r="O49" s="19"/>
      <c r="S49" s="31"/>
      <c r="AF49" s="43"/>
    </row>
    <row r="50" spans="15:32" s="1" customFormat="1" x14ac:dyDescent="0.25">
      <c r="O50" s="19"/>
      <c r="S50" s="31"/>
      <c r="AF50" s="43"/>
    </row>
    <row r="51" spans="15:32" s="1" customFormat="1" x14ac:dyDescent="0.25">
      <c r="O51" s="19"/>
      <c r="S51" s="31"/>
      <c r="AF51" s="43"/>
    </row>
    <row r="52" spans="15:32" s="1" customFormat="1" x14ac:dyDescent="0.25">
      <c r="O52" s="19"/>
      <c r="S52" s="31"/>
      <c r="AF52" s="43"/>
    </row>
    <row r="53" spans="15:32" s="1" customFormat="1" x14ac:dyDescent="0.25">
      <c r="O53" s="19"/>
      <c r="S53" s="31"/>
      <c r="AF53" s="43"/>
    </row>
    <row r="54" spans="15:32" s="1" customFormat="1" x14ac:dyDescent="0.25">
      <c r="O54" s="19"/>
      <c r="S54" s="31"/>
      <c r="AF54" s="43"/>
    </row>
    <row r="55" spans="15:32" s="1" customFormat="1" x14ac:dyDescent="0.25">
      <c r="O55" s="19"/>
      <c r="S55" s="31"/>
      <c r="AF55" s="43"/>
    </row>
    <row r="56" spans="15:32" s="1" customFormat="1" x14ac:dyDescent="0.25">
      <c r="O56" s="19"/>
      <c r="S56" s="31"/>
      <c r="AF56" s="43"/>
    </row>
    <row r="57" spans="15:32" s="1" customFormat="1" x14ac:dyDescent="0.25">
      <c r="O57" s="19"/>
      <c r="S57" s="31"/>
      <c r="AF57" s="43"/>
    </row>
    <row r="58" spans="15:32" s="1" customFormat="1" x14ac:dyDescent="0.25">
      <c r="O58" s="19"/>
      <c r="S58" s="31"/>
      <c r="AF58" s="43"/>
    </row>
    <row r="59" spans="15:32" s="1" customFormat="1" x14ac:dyDescent="0.25">
      <c r="O59" s="19"/>
      <c r="S59" s="31"/>
      <c r="AF59" s="43"/>
    </row>
    <row r="60" spans="15:32" s="1" customFormat="1" x14ac:dyDescent="0.25">
      <c r="O60" s="19"/>
      <c r="S60" s="31"/>
      <c r="AF60" s="43"/>
    </row>
    <row r="61" spans="15:32" s="1" customFormat="1" x14ac:dyDescent="0.25">
      <c r="O61" s="19"/>
      <c r="S61" s="31"/>
      <c r="AF61" s="43"/>
    </row>
    <row r="62" spans="15:32" s="1" customFormat="1" x14ac:dyDescent="0.25">
      <c r="O62" s="19"/>
      <c r="S62" s="31"/>
      <c r="AF62" s="43"/>
    </row>
    <row r="63" spans="15:32" s="1" customFormat="1" x14ac:dyDescent="0.25">
      <c r="O63" s="19"/>
      <c r="S63" s="31"/>
      <c r="AF63" s="43"/>
    </row>
    <row r="64" spans="15:32" s="1" customFormat="1" x14ac:dyDescent="0.25">
      <c r="O64" s="19"/>
      <c r="S64" s="31"/>
      <c r="AF64" s="43"/>
    </row>
    <row r="65" spans="15:32" s="1" customFormat="1" x14ac:dyDescent="0.25">
      <c r="O65" s="19"/>
      <c r="S65" s="31"/>
      <c r="AF65" s="43"/>
    </row>
    <row r="66" spans="15:32" s="1" customFormat="1" x14ac:dyDescent="0.25">
      <c r="O66" s="19"/>
      <c r="S66" s="31"/>
      <c r="AF66" s="43"/>
    </row>
    <row r="67" spans="15:32" s="1" customFormat="1" x14ac:dyDescent="0.25">
      <c r="O67" s="19"/>
      <c r="S67" s="31"/>
      <c r="AF67" s="43"/>
    </row>
    <row r="68" spans="15:32" s="1" customFormat="1" x14ac:dyDescent="0.25">
      <c r="O68" s="19"/>
      <c r="S68" s="31"/>
      <c r="AF68" s="43"/>
    </row>
    <row r="69" spans="15:32" s="1" customFormat="1" x14ac:dyDescent="0.25">
      <c r="O69" s="19"/>
      <c r="S69" s="31"/>
      <c r="AF69" s="43"/>
    </row>
    <row r="70" spans="15:32" s="1" customFormat="1" x14ac:dyDescent="0.25">
      <c r="O70" s="19"/>
      <c r="S70" s="31"/>
      <c r="AF70" s="43"/>
    </row>
    <row r="71" spans="15:32" s="1" customFormat="1" x14ac:dyDescent="0.25">
      <c r="O71" s="19"/>
      <c r="S71" s="31"/>
      <c r="AF71" s="43"/>
    </row>
    <row r="72" spans="15:32" s="1" customFormat="1" x14ac:dyDescent="0.25">
      <c r="O72" s="19"/>
      <c r="S72" s="31"/>
      <c r="AF72" s="43"/>
    </row>
    <row r="73" spans="15:32" s="1" customFormat="1" x14ac:dyDescent="0.25">
      <c r="O73" s="19"/>
      <c r="S73" s="31"/>
      <c r="AF73" s="43"/>
    </row>
    <row r="74" spans="15:32" s="1" customFormat="1" x14ac:dyDescent="0.25">
      <c r="O74" s="19"/>
      <c r="S74" s="31"/>
      <c r="AF74" s="43"/>
    </row>
    <row r="75" spans="15:32" s="1" customFormat="1" x14ac:dyDescent="0.25">
      <c r="O75" s="19"/>
      <c r="S75" s="31"/>
      <c r="AF75" s="43"/>
    </row>
    <row r="76" spans="15:32" s="1" customFormat="1" x14ac:dyDescent="0.25">
      <c r="O76" s="19"/>
      <c r="S76" s="31"/>
      <c r="AF76" s="43"/>
    </row>
    <row r="77" spans="15:32" s="1" customFormat="1" x14ac:dyDescent="0.25">
      <c r="O77" s="19"/>
      <c r="S77" s="31"/>
      <c r="AF77" s="43"/>
    </row>
    <row r="78" spans="15:32" s="1" customFormat="1" x14ac:dyDescent="0.25">
      <c r="O78" s="19"/>
      <c r="S78" s="31"/>
      <c r="AF78" s="43"/>
    </row>
    <row r="79" spans="15:32" s="1" customFormat="1" x14ac:dyDescent="0.25">
      <c r="O79" s="19"/>
      <c r="S79" s="31"/>
      <c r="AF79" s="43"/>
    </row>
    <row r="80" spans="15:32" s="1" customFormat="1" x14ac:dyDescent="0.25">
      <c r="O80" s="19"/>
      <c r="S80" s="31"/>
      <c r="AF80" s="43"/>
    </row>
    <row r="81" spans="15:32" s="1" customFormat="1" x14ac:dyDescent="0.25">
      <c r="O81" s="19"/>
      <c r="S81" s="31"/>
      <c r="AF81" s="43"/>
    </row>
    <row r="82" spans="15:32" s="1" customFormat="1" x14ac:dyDescent="0.25">
      <c r="O82" s="19"/>
      <c r="S82" s="31"/>
      <c r="AF82" s="43"/>
    </row>
    <row r="83" spans="15:32" s="1" customFormat="1" x14ac:dyDescent="0.25">
      <c r="O83" s="19"/>
      <c r="S83" s="31"/>
      <c r="AF83" s="43"/>
    </row>
    <row r="84" spans="15:32" s="1" customFormat="1" x14ac:dyDescent="0.25">
      <c r="O84" s="19"/>
      <c r="S84" s="31"/>
      <c r="AF84" s="43"/>
    </row>
    <row r="85" spans="15:32" s="1" customFormat="1" x14ac:dyDescent="0.25">
      <c r="O85" s="19"/>
      <c r="S85" s="31"/>
      <c r="AF85" s="43"/>
    </row>
    <row r="86" spans="15:32" s="1" customFormat="1" x14ac:dyDescent="0.25">
      <c r="O86" s="19"/>
      <c r="S86" s="31"/>
      <c r="AF86" s="43"/>
    </row>
    <row r="87" spans="15:32" s="1" customFormat="1" x14ac:dyDescent="0.25">
      <c r="O87" s="19"/>
      <c r="S87" s="31"/>
      <c r="AF87" s="43"/>
    </row>
    <row r="88" spans="15:32" s="1" customFormat="1" x14ac:dyDescent="0.25">
      <c r="O88" s="19"/>
      <c r="S88" s="31"/>
      <c r="AF88" s="43"/>
    </row>
    <row r="89" spans="15:32" s="1" customFormat="1" x14ac:dyDescent="0.25">
      <c r="O89" s="19"/>
      <c r="S89" s="31"/>
      <c r="AF89" s="43"/>
    </row>
    <row r="90" spans="15:32" s="1" customFormat="1" x14ac:dyDescent="0.25">
      <c r="O90" s="19"/>
      <c r="S90" s="31"/>
      <c r="AF90" s="43"/>
    </row>
    <row r="91" spans="15:32" s="1" customFormat="1" x14ac:dyDescent="0.25">
      <c r="O91" s="19"/>
      <c r="S91" s="31"/>
      <c r="AF91" s="43"/>
    </row>
    <row r="92" spans="15:32" s="1" customFormat="1" x14ac:dyDescent="0.25">
      <c r="O92" s="19"/>
      <c r="S92" s="31"/>
      <c r="AF92" s="43"/>
    </row>
    <row r="93" spans="15:32" s="1" customFormat="1" x14ac:dyDescent="0.25">
      <c r="O93" s="19"/>
      <c r="S93" s="31"/>
      <c r="AF93" s="43"/>
    </row>
    <row r="94" spans="15:32" s="1" customFormat="1" x14ac:dyDescent="0.25">
      <c r="O94" s="19"/>
      <c r="S94" s="31"/>
      <c r="AF94" s="43"/>
    </row>
    <row r="95" spans="15:32" s="1" customFormat="1" x14ac:dyDescent="0.25">
      <c r="O95" s="19"/>
      <c r="S95" s="31"/>
      <c r="AF95" s="43"/>
    </row>
    <row r="96" spans="15:32" s="1" customFormat="1" x14ac:dyDescent="0.25">
      <c r="O96" s="19"/>
      <c r="S96" s="31"/>
      <c r="AF96" s="43"/>
    </row>
    <row r="97" spans="4:32" s="1" customFormat="1" x14ac:dyDescent="0.25">
      <c r="O97" s="19"/>
      <c r="S97" s="31"/>
      <c r="AF97" s="43"/>
    </row>
    <row r="98" spans="4:32" s="1" customFormat="1" x14ac:dyDescent="0.25">
      <c r="O98" s="19"/>
      <c r="S98" s="31"/>
      <c r="AF98" s="43"/>
    </row>
    <row r="99" spans="4:32" s="1" customFormat="1" x14ac:dyDescent="0.25">
      <c r="O99" s="19"/>
      <c r="S99" s="31"/>
      <c r="AF99" s="43"/>
    </row>
    <row r="100" spans="4:32" s="1" customFormat="1" x14ac:dyDescent="0.25">
      <c r="O100" s="19"/>
      <c r="S100" s="31"/>
      <c r="AF100" s="43"/>
    </row>
    <row r="101" spans="4:32" s="1" customFormat="1" x14ac:dyDescent="0.25">
      <c r="O101" s="19"/>
      <c r="S101" s="31"/>
      <c r="AF101" s="43"/>
    </row>
    <row r="102" spans="4:32" s="1" customFormat="1" x14ac:dyDescent="0.25">
      <c r="O102" s="19"/>
      <c r="S102" s="31"/>
      <c r="AF102" s="43"/>
    </row>
    <row r="103" spans="4:32" s="1" customFormat="1" x14ac:dyDescent="0.25">
      <c r="O103" s="19"/>
      <c r="S103" s="31"/>
      <c r="AF103" s="43"/>
    </row>
    <row r="104" spans="4:32" s="1" customFormat="1" x14ac:dyDescent="0.25">
      <c r="O104" s="19"/>
      <c r="S104" s="31"/>
      <c r="AF104" s="43"/>
    </row>
    <row r="105" spans="4:32" s="1" customFormat="1" x14ac:dyDescent="0.25">
      <c r="O105" s="19"/>
      <c r="S105" s="31"/>
      <c r="AF105" s="43"/>
    </row>
    <row r="106" spans="4:32" s="1" customFormat="1" x14ac:dyDescent="0.25">
      <c r="O106" s="19"/>
      <c r="S106" s="31"/>
      <c r="AF106" s="43"/>
    </row>
    <row r="107" spans="4:32" s="1" customFormat="1" x14ac:dyDescent="0.25">
      <c r="O107" s="19"/>
      <c r="S107" s="31"/>
      <c r="AF107" s="43"/>
    </row>
    <row r="108" spans="4:32" s="1" customFormat="1" x14ac:dyDescent="0.25">
      <c r="D108" s="47"/>
      <c r="O108" s="19"/>
      <c r="S108" s="31"/>
      <c r="AF108" s="43"/>
    </row>
    <row r="109" spans="4:32" s="1" customFormat="1" x14ac:dyDescent="0.25">
      <c r="O109" s="19"/>
      <c r="S109" s="31"/>
      <c r="AF109" s="43"/>
    </row>
    <row r="110" spans="4:32" s="1" customFormat="1" x14ac:dyDescent="0.25">
      <c r="D110" s="47"/>
      <c r="O110" s="19"/>
      <c r="S110" s="31"/>
      <c r="AF110" s="43"/>
    </row>
    <row r="111" spans="4:32" s="1" customFormat="1" x14ac:dyDescent="0.25">
      <c r="O111" s="19"/>
      <c r="S111" s="31"/>
      <c r="AF111" s="43"/>
    </row>
    <row r="112" spans="4:32" s="1" customFormat="1" x14ac:dyDescent="0.25">
      <c r="D112" s="47"/>
      <c r="O112" s="19"/>
      <c r="S112" s="31"/>
      <c r="AF112" s="43"/>
    </row>
    <row r="113" spans="4:32" s="1" customFormat="1" x14ac:dyDescent="0.25">
      <c r="O113" s="19"/>
      <c r="S113" s="31"/>
      <c r="AF113" s="43"/>
    </row>
    <row r="114" spans="4:32" s="1" customFormat="1" x14ac:dyDescent="0.25">
      <c r="D114" s="47"/>
      <c r="O114" s="19"/>
      <c r="S114" s="31"/>
      <c r="AF114" s="43"/>
    </row>
    <row r="115" spans="4:32" s="1" customFormat="1" x14ac:dyDescent="0.25">
      <c r="O115" s="19"/>
      <c r="S115" s="31"/>
      <c r="AF115" s="43"/>
    </row>
    <row r="116" spans="4:32" s="1" customFormat="1" x14ac:dyDescent="0.25">
      <c r="D116" s="47"/>
      <c r="O116" s="19"/>
      <c r="S116" s="31"/>
      <c r="AF116" s="43"/>
    </row>
    <row r="117" spans="4:32" s="1" customFormat="1" x14ac:dyDescent="0.25">
      <c r="O117" s="19"/>
      <c r="S117" s="31"/>
      <c r="AF117" s="43"/>
    </row>
    <row r="118" spans="4:32" s="1" customFormat="1" x14ac:dyDescent="0.25">
      <c r="D118" s="47"/>
      <c r="O118" s="19"/>
      <c r="S118" s="31"/>
      <c r="AF118" s="43"/>
    </row>
    <row r="119" spans="4:32" s="1" customFormat="1" x14ac:dyDescent="0.25">
      <c r="O119" s="19"/>
      <c r="S119" s="31"/>
      <c r="AF119" s="43"/>
    </row>
    <row r="120" spans="4:32" s="1" customFormat="1" x14ac:dyDescent="0.25">
      <c r="O120" s="19"/>
      <c r="S120" s="31"/>
      <c r="AF120" s="43"/>
    </row>
    <row r="121" spans="4:32" s="1" customFormat="1" x14ac:dyDescent="0.25">
      <c r="O121" s="19"/>
      <c r="S121" s="31"/>
      <c r="AF121" s="43"/>
    </row>
    <row r="122" spans="4:32" s="1" customFormat="1" x14ac:dyDescent="0.25">
      <c r="O122" s="19"/>
      <c r="S122" s="31"/>
      <c r="AF122" s="43"/>
    </row>
    <row r="123" spans="4:32" s="1" customFormat="1" x14ac:dyDescent="0.25">
      <c r="O123" s="19"/>
      <c r="S123" s="31"/>
      <c r="AF123" s="43"/>
    </row>
    <row r="124" spans="4:32" s="1" customFormat="1" x14ac:dyDescent="0.25">
      <c r="O124" s="19"/>
      <c r="S124" s="31"/>
      <c r="AF124" s="43"/>
    </row>
    <row r="125" spans="4:32" s="1" customFormat="1" x14ac:dyDescent="0.25">
      <c r="O125" s="19"/>
      <c r="S125" s="31"/>
      <c r="AF125" s="43"/>
    </row>
    <row r="126" spans="4:32" s="1" customFormat="1" x14ac:dyDescent="0.25">
      <c r="O126" s="19"/>
      <c r="S126" s="31"/>
      <c r="AF126" s="43"/>
    </row>
    <row r="127" spans="4:32" s="1" customFormat="1" x14ac:dyDescent="0.25">
      <c r="O127" s="19"/>
      <c r="S127" s="31"/>
      <c r="AF127" s="43"/>
    </row>
    <row r="128" spans="4:32" s="1" customFormat="1" x14ac:dyDescent="0.25">
      <c r="O128" s="19"/>
      <c r="S128" s="31"/>
      <c r="AF128" s="43"/>
    </row>
    <row r="129" spans="15:32" s="1" customFormat="1" x14ac:dyDescent="0.25">
      <c r="O129" s="19"/>
      <c r="S129" s="31"/>
      <c r="AF129" s="43"/>
    </row>
    <row r="130" spans="15:32" s="1" customFormat="1" x14ac:dyDescent="0.25">
      <c r="O130" s="19"/>
      <c r="S130" s="31"/>
      <c r="AF130" s="43"/>
    </row>
    <row r="131" spans="15:32" s="1" customFormat="1" x14ac:dyDescent="0.25">
      <c r="O131" s="19"/>
      <c r="S131" s="31"/>
      <c r="AF131" s="43"/>
    </row>
    <row r="132" spans="15:32" s="1" customFormat="1" x14ac:dyDescent="0.25">
      <c r="O132" s="19"/>
      <c r="S132" s="31"/>
      <c r="AF132" s="43"/>
    </row>
    <row r="133" spans="15:32" s="1" customFormat="1" x14ac:dyDescent="0.25">
      <c r="O133" s="19"/>
      <c r="S133" s="31"/>
      <c r="AF133" s="43"/>
    </row>
    <row r="134" spans="15:32" s="1" customFormat="1" x14ac:dyDescent="0.25">
      <c r="O134" s="19"/>
      <c r="S134" s="31"/>
      <c r="AF134" s="43"/>
    </row>
    <row r="135" spans="15:32" s="1" customFormat="1" x14ac:dyDescent="0.25">
      <c r="O135" s="19"/>
      <c r="S135" s="31"/>
      <c r="AF135" s="43"/>
    </row>
    <row r="136" spans="15:32" s="1" customFormat="1" x14ac:dyDescent="0.25">
      <c r="O136" s="19"/>
      <c r="S136" s="31"/>
      <c r="AF136" s="43"/>
    </row>
    <row r="137" spans="15:32" s="1" customFormat="1" x14ac:dyDescent="0.25">
      <c r="O137" s="19"/>
      <c r="S137" s="31"/>
      <c r="AF137" s="43"/>
    </row>
    <row r="138" spans="15:32" s="1" customFormat="1" x14ac:dyDescent="0.25">
      <c r="O138" s="19"/>
      <c r="S138" s="31"/>
      <c r="AF138" s="43"/>
    </row>
    <row r="139" spans="15:32" s="1" customFormat="1" x14ac:dyDescent="0.25">
      <c r="O139" s="19"/>
      <c r="S139" s="31"/>
      <c r="AF139" s="43"/>
    </row>
    <row r="140" spans="15:32" s="1" customFormat="1" x14ac:dyDescent="0.25">
      <c r="O140" s="19"/>
      <c r="S140" s="31"/>
      <c r="AF140" s="43"/>
    </row>
    <row r="141" spans="15:32" s="1" customFormat="1" x14ac:dyDescent="0.25">
      <c r="O141" s="19"/>
      <c r="S141" s="31"/>
      <c r="AF141" s="43"/>
    </row>
    <row r="142" spans="15:32" s="1" customFormat="1" x14ac:dyDescent="0.25">
      <c r="O142" s="19"/>
      <c r="S142" s="31"/>
      <c r="AF142" s="43"/>
    </row>
    <row r="143" spans="15:32" s="1" customFormat="1" x14ac:dyDescent="0.25">
      <c r="O143" s="19"/>
      <c r="S143" s="31"/>
      <c r="AF143" s="43"/>
    </row>
    <row r="144" spans="15:32" s="1" customFormat="1" x14ac:dyDescent="0.25">
      <c r="O144" s="19"/>
      <c r="S144" s="31"/>
      <c r="AF144" s="43"/>
    </row>
    <row r="145" spans="15:32" s="1" customFormat="1" x14ac:dyDescent="0.25">
      <c r="O145" s="19"/>
      <c r="S145" s="31"/>
      <c r="AF145" s="43"/>
    </row>
    <row r="146" spans="15:32" s="1" customFormat="1" x14ac:dyDescent="0.25">
      <c r="O146" s="19"/>
      <c r="S146" s="31"/>
      <c r="AF146" s="43"/>
    </row>
    <row r="147" spans="15:32" s="1" customFormat="1" x14ac:dyDescent="0.25">
      <c r="O147" s="19"/>
      <c r="S147" s="31"/>
      <c r="AF147" s="43"/>
    </row>
    <row r="148" spans="15:32" s="1" customFormat="1" x14ac:dyDescent="0.25">
      <c r="O148" s="19"/>
      <c r="S148" s="31"/>
      <c r="AF148" s="43"/>
    </row>
    <row r="149" spans="15:32" s="1" customFormat="1" x14ac:dyDescent="0.25">
      <c r="O149" s="19"/>
      <c r="S149" s="31"/>
      <c r="AF149" s="43"/>
    </row>
    <row r="150" spans="15:32" s="1" customFormat="1" x14ac:dyDescent="0.25">
      <c r="O150" s="19"/>
      <c r="S150" s="31"/>
      <c r="AF150" s="43"/>
    </row>
    <row r="151" spans="15:32" s="1" customFormat="1" x14ac:dyDescent="0.25">
      <c r="O151" s="19"/>
      <c r="S151" s="31"/>
      <c r="AF151" s="43"/>
    </row>
    <row r="152" spans="15:32" s="1" customFormat="1" x14ac:dyDescent="0.25">
      <c r="O152" s="19"/>
      <c r="S152" s="31"/>
      <c r="AF152" s="43"/>
    </row>
    <row r="153" spans="15:32" s="1" customFormat="1" x14ac:dyDescent="0.25">
      <c r="O153" s="19"/>
      <c r="S153" s="31"/>
      <c r="AF153" s="43"/>
    </row>
    <row r="154" spans="15:32" s="1" customFormat="1" x14ac:dyDescent="0.25">
      <c r="O154" s="19"/>
      <c r="S154" s="31"/>
      <c r="AF154" s="43"/>
    </row>
    <row r="155" spans="15:32" s="1" customFormat="1" x14ac:dyDescent="0.25">
      <c r="O155" s="19"/>
      <c r="S155" s="31"/>
      <c r="AF155" s="43"/>
    </row>
    <row r="156" spans="15:32" s="1" customFormat="1" x14ac:dyDescent="0.25">
      <c r="O156" s="19"/>
      <c r="S156" s="31"/>
      <c r="AF156" s="43"/>
    </row>
    <row r="157" spans="15:32" s="1" customFormat="1" x14ac:dyDescent="0.25">
      <c r="O157" s="19"/>
      <c r="S157" s="31"/>
      <c r="AF157" s="43"/>
    </row>
    <row r="158" spans="15:32" s="1" customFormat="1" x14ac:dyDescent="0.25">
      <c r="O158" s="19"/>
      <c r="S158" s="31"/>
      <c r="AF158" s="43"/>
    </row>
    <row r="159" spans="15:32" s="1" customFormat="1" x14ac:dyDescent="0.25">
      <c r="O159" s="19"/>
      <c r="S159" s="31"/>
      <c r="AF159" s="43"/>
    </row>
    <row r="160" spans="15:32" s="1" customFormat="1" x14ac:dyDescent="0.25">
      <c r="O160" s="19"/>
      <c r="S160" s="31"/>
      <c r="AF160" s="43"/>
    </row>
    <row r="161" spans="15:32" s="1" customFormat="1" x14ac:dyDescent="0.25">
      <c r="O161" s="19"/>
      <c r="S161" s="31"/>
      <c r="AF161" s="43"/>
    </row>
    <row r="162" spans="15:32" s="1" customFormat="1" x14ac:dyDescent="0.25">
      <c r="O162" s="19"/>
      <c r="S162" s="31"/>
      <c r="AF162" s="43"/>
    </row>
    <row r="163" spans="15:32" s="1" customFormat="1" x14ac:dyDescent="0.25">
      <c r="O163" s="19"/>
      <c r="S163" s="31"/>
      <c r="AF163" s="43"/>
    </row>
    <row r="164" spans="15:32" s="1" customFormat="1" x14ac:dyDescent="0.25">
      <c r="O164" s="19"/>
      <c r="S164" s="31"/>
      <c r="AF164" s="43"/>
    </row>
    <row r="165" spans="15:32" s="1" customFormat="1" x14ac:dyDescent="0.25">
      <c r="O165" s="19"/>
      <c r="S165" s="31"/>
      <c r="AF165" s="43"/>
    </row>
    <row r="166" spans="15:32" s="1" customFormat="1" x14ac:dyDescent="0.25">
      <c r="O166" s="19"/>
      <c r="S166" s="31"/>
      <c r="AF166" s="43"/>
    </row>
    <row r="167" spans="15:32" s="1" customFormat="1" x14ac:dyDescent="0.25">
      <c r="O167" s="19"/>
      <c r="S167" s="31"/>
      <c r="AF167" s="43"/>
    </row>
    <row r="168" spans="15:32" s="1" customFormat="1" x14ac:dyDescent="0.25">
      <c r="O168" s="19"/>
      <c r="S168" s="31"/>
      <c r="AF168" s="43"/>
    </row>
    <row r="169" spans="15:32" s="1" customFormat="1" x14ac:dyDescent="0.25">
      <c r="O169" s="19"/>
      <c r="S169" s="31"/>
      <c r="AF169" s="43"/>
    </row>
    <row r="170" spans="15:32" s="1" customFormat="1" x14ac:dyDescent="0.25">
      <c r="O170" s="19"/>
      <c r="S170" s="31"/>
      <c r="AF170" s="43"/>
    </row>
    <row r="171" spans="15:32" s="1" customFormat="1" x14ac:dyDescent="0.25">
      <c r="O171" s="19"/>
      <c r="S171" s="31"/>
      <c r="AF171" s="43"/>
    </row>
    <row r="172" spans="15:32" s="1" customFormat="1" x14ac:dyDescent="0.25">
      <c r="O172" s="19"/>
      <c r="S172" s="31"/>
      <c r="AF172" s="43"/>
    </row>
    <row r="173" spans="15:32" s="1" customFormat="1" x14ac:dyDescent="0.25">
      <c r="O173" s="19"/>
      <c r="S173" s="31"/>
      <c r="AF173" s="43"/>
    </row>
    <row r="174" spans="15:32" s="1" customFormat="1" x14ac:dyDescent="0.25">
      <c r="O174" s="19"/>
      <c r="S174" s="31"/>
      <c r="AF174" s="43"/>
    </row>
    <row r="175" spans="15:32" s="1" customFormat="1" x14ac:dyDescent="0.25">
      <c r="O175" s="19"/>
      <c r="S175" s="31"/>
      <c r="AF175" s="43"/>
    </row>
    <row r="176" spans="15:32" s="1" customFormat="1" x14ac:dyDescent="0.25">
      <c r="O176" s="19"/>
      <c r="S176" s="31"/>
      <c r="AF176" s="43"/>
    </row>
    <row r="177" spans="15:32" s="1" customFormat="1" x14ac:dyDescent="0.25">
      <c r="O177" s="19"/>
      <c r="S177" s="31"/>
      <c r="AF177" s="43"/>
    </row>
    <row r="178" spans="15:32" s="1" customFormat="1" x14ac:dyDescent="0.25">
      <c r="O178" s="19"/>
      <c r="S178" s="31"/>
      <c r="AF178" s="43"/>
    </row>
    <row r="179" spans="15:32" s="1" customFormat="1" x14ac:dyDescent="0.25">
      <c r="O179" s="19"/>
      <c r="S179" s="31"/>
      <c r="AF179" s="43"/>
    </row>
    <row r="180" spans="15:32" s="1" customFormat="1" x14ac:dyDescent="0.25">
      <c r="O180" s="19"/>
      <c r="S180" s="31"/>
      <c r="AF180" s="43"/>
    </row>
    <row r="181" spans="15:32" s="1" customFormat="1" x14ac:dyDescent="0.25">
      <c r="O181" s="19"/>
      <c r="S181" s="31"/>
      <c r="AF181" s="43"/>
    </row>
    <row r="182" spans="15:32" s="1" customFormat="1" x14ac:dyDescent="0.25">
      <c r="O182" s="19"/>
      <c r="S182" s="31"/>
      <c r="AF182" s="43"/>
    </row>
    <row r="183" spans="15:32" s="1" customFormat="1" x14ac:dyDescent="0.25">
      <c r="O183" s="19"/>
      <c r="S183" s="31"/>
      <c r="AF183" s="43"/>
    </row>
    <row r="184" spans="15:32" s="1" customFormat="1" x14ac:dyDescent="0.25">
      <c r="O184" s="19"/>
      <c r="S184" s="31"/>
      <c r="AF184" s="43"/>
    </row>
    <row r="185" spans="15:32" s="1" customFormat="1" x14ac:dyDescent="0.25">
      <c r="O185" s="19"/>
      <c r="S185" s="31"/>
      <c r="AF185" s="43"/>
    </row>
    <row r="186" spans="15:32" s="1" customFormat="1" x14ac:dyDescent="0.25">
      <c r="O186" s="19"/>
      <c r="S186" s="31"/>
      <c r="AF186" s="43"/>
    </row>
    <row r="187" spans="15:32" s="1" customFormat="1" x14ac:dyDescent="0.25">
      <c r="O187" s="19"/>
      <c r="S187" s="31"/>
      <c r="AF187" s="43"/>
    </row>
    <row r="188" spans="15:32" s="1" customFormat="1" x14ac:dyDescent="0.25">
      <c r="O188" s="19"/>
      <c r="S188" s="31"/>
      <c r="AF188" s="43"/>
    </row>
    <row r="189" spans="15:32" s="1" customFormat="1" x14ac:dyDescent="0.25">
      <c r="O189" s="19"/>
      <c r="S189" s="31"/>
      <c r="AF189" s="43"/>
    </row>
    <row r="190" spans="15:32" s="1" customFormat="1" x14ac:dyDescent="0.25">
      <c r="O190" s="19"/>
      <c r="S190" s="31"/>
      <c r="AF190" s="43"/>
    </row>
    <row r="191" spans="15:32" s="1" customFormat="1" x14ac:dyDescent="0.25">
      <c r="O191" s="19"/>
      <c r="S191" s="31"/>
      <c r="AF191" s="43"/>
    </row>
    <row r="192" spans="15:32" s="1" customFormat="1" x14ac:dyDescent="0.25">
      <c r="O192" s="19"/>
      <c r="S192" s="31"/>
      <c r="AF192" s="43"/>
    </row>
    <row r="193" spans="2:32" s="1" customFormat="1" x14ac:dyDescent="0.25">
      <c r="O193" s="19"/>
      <c r="S193" s="31"/>
      <c r="AF193" s="43"/>
    </row>
    <row r="194" spans="2:32" s="1" customFormat="1" x14ac:dyDescent="0.25">
      <c r="O194" s="19"/>
      <c r="S194" s="31"/>
      <c r="AF194" s="43"/>
    </row>
    <row r="195" spans="2:32" s="1" customFormat="1" x14ac:dyDescent="0.25">
      <c r="O195" s="19"/>
      <c r="S195" s="31"/>
      <c r="AF195" s="43"/>
    </row>
    <row r="196" spans="2:32" s="1" customFormat="1" x14ac:dyDescent="0.25">
      <c r="O196" s="19"/>
      <c r="S196" s="31"/>
      <c r="AF196" s="43"/>
    </row>
    <row r="197" spans="2:32" s="1" customFormat="1" x14ac:dyDescent="0.25">
      <c r="O197" s="19"/>
      <c r="S197" s="31"/>
      <c r="AF197" s="43"/>
    </row>
    <row r="198" spans="2:32" s="1" customFormat="1" x14ac:dyDescent="0.25">
      <c r="O198" s="19"/>
      <c r="S198" s="34"/>
      <c r="T198"/>
      <c r="V198"/>
      <c r="W198"/>
      <c r="X198"/>
      <c r="Y198"/>
      <c r="Z198"/>
      <c r="AC198"/>
      <c r="AF198" s="43"/>
    </row>
    <row r="199" spans="2:32" s="1" customFormat="1" x14ac:dyDescent="0.25">
      <c r="O199" s="19"/>
      <c r="S199" s="34"/>
      <c r="T199"/>
      <c r="V199"/>
      <c r="W199"/>
      <c r="X199"/>
      <c r="Y199"/>
      <c r="Z199"/>
      <c r="AC199"/>
      <c r="AF199" s="43"/>
    </row>
    <row r="200" spans="2:32" s="1" customFormat="1" x14ac:dyDescent="0.25">
      <c r="O200" s="19"/>
      <c r="S200" s="34"/>
      <c r="T200"/>
      <c r="V200"/>
      <c r="W200"/>
      <c r="X200"/>
      <c r="Y200"/>
      <c r="Z200"/>
      <c r="AC200"/>
      <c r="AF200" s="43"/>
    </row>
    <row r="201" spans="2:32" s="1" customFormat="1" x14ac:dyDescent="0.25">
      <c r="O201" s="19"/>
      <c r="S201" s="34"/>
      <c r="T201"/>
      <c r="V201"/>
      <c r="W201"/>
      <c r="X201"/>
      <c r="Y201"/>
      <c r="Z201"/>
      <c r="AC201"/>
      <c r="AF201" s="43"/>
    </row>
    <row r="202" spans="2:32" s="1" customFormat="1" x14ac:dyDescent="0.25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 s="21"/>
      <c r="P202"/>
      <c r="Q202"/>
      <c r="S202" s="34"/>
      <c r="T202"/>
      <c r="V202"/>
      <c r="W202"/>
      <c r="X202"/>
      <c r="Y202"/>
      <c r="Z202"/>
      <c r="AA202"/>
      <c r="AC202"/>
      <c r="AF202" s="43"/>
    </row>
    <row r="203" spans="2:32" s="1" customFormat="1" x14ac:dyDescent="0.25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 s="21"/>
      <c r="P203"/>
      <c r="Q203"/>
      <c r="S203" s="34"/>
      <c r="T203"/>
      <c r="V203"/>
      <c r="W203"/>
      <c r="X203"/>
      <c r="Y203"/>
      <c r="Z203"/>
      <c r="AA203"/>
      <c r="AC203"/>
      <c r="AF203" s="43"/>
    </row>
    <row r="204" spans="2:32" s="1" customFormat="1" x14ac:dyDescent="0.25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 s="21"/>
      <c r="P204"/>
      <c r="Q204"/>
      <c r="S204" s="34"/>
      <c r="T204"/>
      <c r="V204"/>
      <c r="W204"/>
      <c r="X204"/>
      <c r="Y204"/>
      <c r="Z204"/>
      <c r="AA204"/>
      <c r="AC204"/>
      <c r="AF204" s="43"/>
    </row>
    <row r="205" spans="2:32" s="1" customFormat="1" x14ac:dyDescent="0.25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 s="21"/>
      <c r="P205"/>
      <c r="Q205"/>
      <c r="S205" s="34"/>
      <c r="T205"/>
      <c r="V205"/>
      <c r="W205"/>
      <c r="X205"/>
      <c r="Y205"/>
      <c r="Z205"/>
      <c r="AA205"/>
      <c r="AC205"/>
      <c r="AF205" s="43"/>
    </row>
    <row r="206" spans="2:32" s="1" customFormat="1" x14ac:dyDescent="0.25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 s="21"/>
      <c r="P206"/>
      <c r="Q206"/>
      <c r="S206" s="34"/>
      <c r="T206"/>
      <c r="V206"/>
      <c r="W206"/>
      <c r="X206"/>
      <c r="Y206"/>
      <c r="Z206"/>
      <c r="AA206"/>
      <c r="AC206"/>
      <c r="AF206" s="43"/>
    </row>
    <row r="207" spans="2:32" s="1" customFormat="1" x14ac:dyDescent="0.25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 s="21"/>
      <c r="P207"/>
      <c r="Q207"/>
      <c r="S207" s="34"/>
      <c r="T207"/>
      <c r="V207"/>
      <c r="W207"/>
      <c r="X207"/>
      <c r="Y207"/>
      <c r="Z207"/>
      <c r="AA207"/>
      <c r="AC207"/>
      <c r="AF207" s="43"/>
    </row>
    <row r="208" spans="2:32" s="1" customFormat="1" x14ac:dyDescent="0.25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 s="21"/>
      <c r="P208"/>
      <c r="Q208"/>
      <c r="S208" s="34"/>
      <c r="T208"/>
      <c r="V208"/>
      <c r="W208"/>
      <c r="X208"/>
      <c r="Y208"/>
      <c r="Z208"/>
      <c r="AA208"/>
      <c r="AC208"/>
      <c r="AF208" s="43"/>
    </row>
    <row r="209" spans="21:21" x14ac:dyDescent="0.25">
      <c r="U209" s="1"/>
    </row>
    <row r="210" spans="21:21" x14ac:dyDescent="0.25">
      <c r="U210" s="1"/>
    </row>
    <row r="211" spans="21:21" x14ac:dyDescent="0.25">
      <c r="U211" s="1"/>
    </row>
    <row r="212" spans="21:21" x14ac:dyDescent="0.25">
      <c r="U212" s="1"/>
    </row>
    <row r="213" spans="21:21" x14ac:dyDescent="0.25">
      <c r="U213" s="1"/>
    </row>
    <row r="214" spans="21:21" x14ac:dyDescent="0.25">
      <c r="U214" s="1"/>
    </row>
  </sheetData>
  <mergeCells count="46">
    <mergeCell ref="G10:G13"/>
    <mergeCell ref="H10:H13"/>
    <mergeCell ref="I10:I13"/>
    <mergeCell ref="J10:J13"/>
    <mergeCell ref="K10:K13"/>
    <mergeCell ref="L10:L13"/>
    <mergeCell ref="X2:X5"/>
    <mergeCell ref="Y2:Y5"/>
    <mergeCell ref="Z2:Z5"/>
    <mergeCell ref="AC2:AC5"/>
    <mergeCell ref="U2:U5"/>
    <mergeCell ref="V2:V5"/>
    <mergeCell ref="Z10:Z13"/>
    <mergeCell ref="AC10:AC13"/>
    <mergeCell ref="N10:N13"/>
    <mergeCell ref="O10:O13"/>
    <mergeCell ref="P10:P13"/>
    <mergeCell ref="S10:S13"/>
    <mergeCell ref="T10:T13"/>
    <mergeCell ref="W10:W13"/>
    <mergeCell ref="AD3:AD5"/>
    <mergeCell ref="B10:B13"/>
    <mergeCell ref="C10:C13"/>
    <mergeCell ref="D10:D13"/>
    <mergeCell ref="E10:E13"/>
    <mergeCell ref="F10:F13"/>
    <mergeCell ref="W2:W5"/>
    <mergeCell ref="K2:K5"/>
    <mergeCell ref="L2:L5"/>
    <mergeCell ref="M2:M5"/>
    <mergeCell ref="N2:N5"/>
    <mergeCell ref="O2:O5"/>
    <mergeCell ref="P2:P5"/>
    <mergeCell ref="Q2:Q5"/>
    <mergeCell ref="S2:S5"/>
    <mergeCell ref="T2:T5"/>
    <mergeCell ref="T1:U1"/>
    <mergeCell ref="B2:B5"/>
    <mergeCell ref="C2:C5"/>
    <mergeCell ref="D2:D5"/>
    <mergeCell ref="E2:E5"/>
    <mergeCell ref="F2:F5"/>
    <mergeCell ref="G2:G5"/>
    <mergeCell ref="H2:H5"/>
    <mergeCell ref="I2:I5"/>
    <mergeCell ref="J2:J5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883F-ACCA-4051-8305-C692314CBB75}">
  <dimension ref="A1:DK200"/>
  <sheetViews>
    <sheetView zoomScale="115" zoomScaleNormal="115" workbookViewId="0">
      <selection activeCell="D27" sqref="D27"/>
    </sheetView>
  </sheetViews>
  <sheetFormatPr baseColWidth="10" defaultColWidth="11.42578125" defaultRowHeight="15" outlineLevelCol="1" x14ac:dyDescent="0.25"/>
  <cols>
    <col min="1" max="1" width="5.85546875" style="1" customWidth="1"/>
    <col min="2" max="2" width="36" customWidth="1"/>
    <col min="3" max="3" width="21.140625" bestFit="1" customWidth="1" outlineLevel="1"/>
    <col min="4" max="4" width="15.140625" customWidth="1" outlineLevel="1"/>
    <col min="5" max="5" width="7.85546875" customWidth="1" outlineLevel="1"/>
    <col min="6" max="6" width="11.7109375" customWidth="1" outlineLevel="1"/>
    <col min="7" max="7" width="3.85546875" customWidth="1" outlineLevel="1"/>
    <col min="8" max="8" width="9.7109375" customWidth="1" outlineLevel="1"/>
    <col min="9" max="9" width="6.42578125" customWidth="1" outlineLevel="1"/>
    <col min="10" max="10" width="3.85546875" customWidth="1" outlineLevel="1"/>
    <col min="11" max="14" width="9.140625" customWidth="1" outlineLevel="1"/>
    <col min="15" max="15" width="9.140625" style="21" customWidth="1" outlineLevel="1"/>
    <col min="16" max="16" width="11.7109375" customWidth="1" outlineLevel="1"/>
    <col min="17" max="17" width="13.7109375" bestFit="1" customWidth="1" outlineLevel="1"/>
    <col min="18" max="18" width="5.5703125" style="1" customWidth="1" outlineLevel="1"/>
    <col min="19" max="19" width="16.7109375" style="34" customWidth="1"/>
    <col min="20" max="20" width="18.28515625" customWidth="1"/>
    <col min="21" max="21" width="16.28515625" style="46" bestFit="1" customWidth="1"/>
    <col min="22" max="22" width="18" customWidth="1"/>
    <col min="23" max="24" width="13.42578125" customWidth="1"/>
    <col min="25" max="25" width="18.85546875" bestFit="1" customWidth="1"/>
    <col min="26" max="26" width="16.140625" customWidth="1"/>
    <col min="28" max="28" width="16" style="1" customWidth="1"/>
    <col min="29" max="29" width="28" customWidth="1"/>
    <col min="30" max="30" width="16.140625" style="1" bestFit="1" customWidth="1"/>
    <col min="31" max="31" width="29" style="1" bestFit="1" customWidth="1"/>
    <col min="32" max="32" width="12.5703125" style="43" bestFit="1" customWidth="1"/>
    <col min="33" max="115" width="11.42578125" style="1"/>
    <col min="261" max="261" width="18.42578125" customWidth="1"/>
    <col min="262" max="262" width="26.42578125" customWidth="1"/>
    <col min="263" max="263" width="10.42578125" bestFit="1" customWidth="1"/>
    <col min="264" max="264" width="8.5703125" customWidth="1"/>
    <col min="265" max="265" width="6" customWidth="1"/>
    <col min="266" max="266" width="5.5703125" customWidth="1"/>
    <col min="267" max="268" width="5.42578125" customWidth="1"/>
    <col min="269" max="269" width="5.5703125" customWidth="1"/>
    <col min="270" max="270" width="6.42578125" customWidth="1"/>
    <col min="271" max="271" width="5.42578125" customWidth="1"/>
    <col min="272" max="272" width="8.42578125" customWidth="1"/>
    <col min="273" max="273" width="2.42578125" customWidth="1"/>
    <col min="274" max="274" width="8.42578125" customWidth="1"/>
    <col min="275" max="275" width="12.42578125" customWidth="1"/>
    <col min="276" max="276" width="1.5703125" customWidth="1"/>
    <col min="277" max="277" width="7.42578125" customWidth="1"/>
    <col min="278" max="278" width="8.42578125" customWidth="1"/>
    <col min="279" max="279" width="1.5703125" customWidth="1"/>
    <col min="280" max="280" width="15.42578125" customWidth="1"/>
    <col min="281" max="281" width="14.42578125" customWidth="1"/>
    <col min="282" max="282" width="14.5703125" customWidth="1"/>
    <col min="283" max="283" width="1.5703125" customWidth="1"/>
    <col min="517" max="517" width="18.42578125" customWidth="1"/>
    <col min="518" max="518" width="26.42578125" customWidth="1"/>
    <col min="519" max="519" width="10.42578125" bestFit="1" customWidth="1"/>
    <col min="520" max="520" width="8.5703125" customWidth="1"/>
    <col min="521" max="521" width="6" customWidth="1"/>
    <col min="522" max="522" width="5.5703125" customWidth="1"/>
    <col min="523" max="524" width="5.42578125" customWidth="1"/>
    <col min="525" max="525" width="5.5703125" customWidth="1"/>
    <col min="526" max="526" width="6.42578125" customWidth="1"/>
    <col min="527" max="527" width="5.42578125" customWidth="1"/>
    <col min="528" max="528" width="8.42578125" customWidth="1"/>
    <col min="529" max="529" width="2.42578125" customWidth="1"/>
    <col min="530" max="530" width="8.42578125" customWidth="1"/>
    <col min="531" max="531" width="12.42578125" customWidth="1"/>
    <col min="532" max="532" width="1.5703125" customWidth="1"/>
    <col min="533" max="533" width="7.42578125" customWidth="1"/>
    <col min="534" max="534" width="8.42578125" customWidth="1"/>
    <col min="535" max="535" width="1.5703125" customWidth="1"/>
    <col min="536" max="536" width="15.42578125" customWidth="1"/>
    <col min="537" max="537" width="14.42578125" customWidth="1"/>
    <col min="538" max="538" width="14.5703125" customWidth="1"/>
    <col min="539" max="539" width="1.5703125" customWidth="1"/>
    <col min="773" max="773" width="18.42578125" customWidth="1"/>
    <col min="774" max="774" width="26.42578125" customWidth="1"/>
    <col min="775" max="775" width="10.42578125" bestFit="1" customWidth="1"/>
    <col min="776" max="776" width="8.5703125" customWidth="1"/>
    <col min="777" max="777" width="6" customWidth="1"/>
    <col min="778" max="778" width="5.5703125" customWidth="1"/>
    <col min="779" max="780" width="5.42578125" customWidth="1"/>
    <col min="781" max="781" width="5.5703125" customWidth="1"/>
    <col min="782" max="782" width="6.42578125" customWidth="1"/>
    <col min="783" max="783" width="5.42578125" customWidth="1"/>
    <col min="784" max="784" width="8.42578125" customWidth="1"/>
    <col min="785" max="785" width="2.42578125" customWidth="1"/>
    <col min="786" max="786" width="8.42578125" customWidth="1"/>
    <col min="787" max="787" width="12.42578125" customWidth="1"/>
    <col min="788" max="788" width="1.5703125" customWidth="1"/>
    <col min="789" max="789" width="7.42578125" customWidth="1"/>
    <col min="790" max="790" width="8.42578125" customWidth="1"/>
    <col min="791" max="791" width="1.5703125" customWidth="1"/>
    <col min="792" max="792" width="15.42578125" customWidth="1"/>
    <col min="793" max="793" width="14.42578125" customWidth="1"/>
    <col min="794" max="794" width="14.5703125" customWidth="1"/>
    <col min="795" max="795" width="1.5703125" customWidth="1"/>
    <col min="1029" max="1029" width="18.42578125" customWidth="1"/>
    <col min="1030" max="1030" width="26.42578125" customWidth="1"/>
    <col min="1031" max="1031" width="10.42578125" bestFit="1" customWidth="1"/>
    <col min="1032" max="1032" width="8.5703125" customWidth="1"/>
    <col min="1033" max="1033" width="6" customWidth="1"/>
    <col min="1034" max="1034" width="5.5703125" customWidth="1"/>
    <col min="1035" max="1036" width="5.42578125" customWidth="1"/>
    <col min="1037" max="1037" width="5.5703125" customWidth="1"/>
    <col min="1038" max="1038" width="6.42578125" customWidth="1"/>
    <col min="1039" max="1039" width="5.42578125" customWidth="1"/>
    <col min="1040" max="1040" width="8.42578125" customWidth="1"/>
    <col min="1041" max="1041" width="2.42578125" customWidth="1"/>
    <col min="1042" max="1042" width="8.42578125" customWidth="1"/>
    <col min="1043" max="1043" width="12.42578125" customWidth="1"/>
    <col min="1044" max="1044" width="1.5703125" customWidth="1"/>
    <col min="1045" max="1045" width="7.42578125" customWidth="1"/>
    <col min="1046" max="1046" width="8.42578125" customWidth="1"/>
    <col min="1047" max="1047" width="1.5703125" customWidth="1"/>
    <col min="1048" max="1048" width="15.42578125" customWidth="1"/>
    <col min="1049" max="1049" width="14.42578125" customWidth="1"/>
    <col min="1050" max="1050" width="14.5703125" customWidth="1"/>
    <col min="1051" max="1051" width="1.5703125" customWidth="1"/>
    <col min="1285" max="1285" width="18.42578125" customWidth="1"/>
    <col min="1286" max="1286" width="26.42578125" customWidth="1"/>
    <col min="1287" max="1287" width="10.42578125" bestFit="1" customWidth="1"/>
    <col min="1288" max="1288" width="8.5703125" customWidth="1"/>
    <col min="1289" max="1289" width="6" customWidth="1"/>
    <col min="1290" max="1290" width="5.5703125" customWidth="1"/>
    <col min="1291" max="1292" width="5.42578125" customWidth="1"/>
    <col min="1293" max="1293" width="5.5703125" customWidth="1"/>
    <col min="1294" max="1294" width="6.42578125" customWidth="1"/>
    <col min="1295" max="1295" width="5.42578125" customWidth="1"/>
    <col min="1296" max="1296" width="8.42578125" customWidth="1"/>
    <col min="1297" max="1297" width="2.42578125" customWidth="1"/>
    <col min="1298" max="1298" width="8.42578125" customWidth="1"/>
    <col min="1299" max="1299" width="12.42578125" customWidth="1"/>
    <col min="1300" max="1300" width="1.5703125" customWidth="1"/>
    <col min="1301" max="1301" width="7.42578125" customWidth="1"/>
    <col min="1302" max="1302" width="8.42578125" customWidth="1"/>
    <col min="1303" max="1303" width="1.5703125" customWidth="1"/>
    <col min="1304" max="1304" width="15.42578125" customWidth="1"/>
    <col min="1305" max="1305" width="14.42578125" customWidth="1"/>
    <col min="1306" max="1306" width="14.5703125" customWidth="1"/>
    <col min="1307" max="1307" width="1.5703125" customWidth="1"/>
    <col min="1541" max="1541" width="18.42578125" customWidth="1"/>
    <col min="1542" max="1542" width="26.42578125" customWidth="1"/>
    <col min="1543" max="1543" width="10.42578125" bestFit="1" customWidth="1"/>
    <col min="1544" max="1544" width="8.5703125" customWidth="1"/>
    <col min="1545" max="1545" width="6" customWidth="1"/>
    <col min="1546" max="1546" width="5.5703125" customWidth="1"/>
    <col min="1547" max="1548" width="5.42578125" customWidth="1"/>
    <col min="1549" max="1549" width="5.5703125" customWidth="1"/>
    <col min="1550" max="1550" width="6.42578125" customWidth="1"/>
    <col min="1551" max="1551" width="5.42578125" customWidth="1"/>
    <col min="1552" max="1552" width="8.42578125" customWidth="1"/>
    <col min="1553" max="1553" width="2.42578125" customWidth="1"/>
    <col min="1554" max="1554" width="8.42578125" customWidth="1"/>
    <col min="1555" max="1555" width="12.42578125" customWidth="1"/>
    <col min="1556" max="1556" width="1.5703125" customWidth="1"/>
    <col min="1557" max="1557" width="7.42578125" customWidth="1"/>
    <col min="1558" max="1558" width="8.42578125" customWidth="1"/>
    <col min="1559" max="1559" width="1.5703125" customWidth="1"/>
    <col min="1560" max="1560" width="15.42578125" customWidth="1"/>
    <col min="1561" max="1561" width="14.42578125" customWidth="1"/>
    <col min="1562" max="1562" width="14.5703125" customWidth="1"/>
    <col min="1563" max="1563" width="1.5703125" customWidth="1"/>
    <col min="1797" max="1797" width="18.42578125" customWidth="1"/>
    <col min="1798" max="1798" width="26.42578125" customWidth="1"/>
    <col min="1799" max="1799" width="10.42578125" bestFit="1" customWidth="1"/>
    <col min="1800" max="1800" width="8.5703125" customWidth="1"/>
    <col min="1801" max="1801" width="6" customWidth="1"/>
    <col min="1802" max="1802" width="5.5703125" customWidth="1"/>
    <col min="1803" max="1804" width="5.42578125" customWidth="1"/>
    <col min="1805" max="1805" width="5.5703125" customWidth="1"/>
    <col min="1806" max="1806" width="6.42578125" customWidth="1"/>
    <col min="1807" max="1807" width="5.42578125" customWidth="1"/>
    <col min="1808" max="1808" width="8.42578125" customWidth="1"/>
    <col min="1809" max="1809" width="2.42578125" customWidth="1"/>
    <col min="1810" max="1810" width="8.42578125" customWidth="1"/>
    <col min="1811" max="1811" width="12.42578125" customWidth="1"/>
    <col min="1812" max="1812" width="1.5703125" customWidth="1"/>
    <col min="1813" max="1813" width="7.42578125" customWidth="1"/>
    <col min="1814" max="1814" width="8.42578125" customWidth="1"/>
    <col min="1815" max="1815" width="1.5703125" customWidth="1"/>
    <col min="1816" max="1816" width="15.42578125" customWidth="1"/>
    <col min="1817" max="1817" width="14.42578125" customWidth="1"/>
    <col min="1818" max="1818" width="14.5703125" customWidth="1"/>
    <col min="1819" max="1819" width="1.5703125" customWidth="1"/>
    <col min="2053" max="2053" width="18.42578125" customWidth="1"/>
    <col min="2054" max="2054" width="26.42578125" customWidth="1"/>
    <col min="2055" max="2055" width="10.42578125" bestFit="1" customWidth="1"/>
    <col min="2056" max="2056" width="8.5703125" customWidth="1"/>
    <col min="2057" max="2057" width="6" customWidth="1"/>
    <col min="2058" max="2058" width="5.5703125" customWidth="1"/>
    <col min="2059" max="2060" width="5.42578125" customWidth="1"/>
    <col min="2061" max="2061" width="5.5703125" customWidth="1"/>
    <col min="2062" max="2062" width="6.42578125" customWidth="1"/>
    <col min="2063" max="2063" width="5.42578125" customWidth="1"/>
    <col min="2064" max="2064" width="8.42578125" customWidth="1"/>
    <col min="2065" max="2065" width="2.42578125" customWidth="1"/>
    <col min="2066" max="2066" width="8.42578125" customWidth="1"/>
    <col min="2067" max="2067" width="12.42578125" customWidth="1"/>
    <col min="2068" max="2068" width="1.5703125" customWidth="1"/>
    <col min="2069" max="2069" width="7.42578125" customWidth="1"/>
    <col min="2070" max="2070" width="8.42578125" customWidth="1"/>
    <col min="2071" max="2071" width="1.5703125" customWidth="1"/>
    <col min="2072" max="2072" width="15.42578125" customWidth="1"/>
    <col min="2073" max="2073" width="14.42578125" customWidth="1"/>
    <col min="2074" max="2074" width="14.5703125" customWidth="1"/>
    <col min="2075" max="2075" width="1.5703125" customWidth="1"/>
    <col min="2309" max="2309" width="18.42578125" customWidth="1"/>
    <col min="2310" max="2310" width="26.42578125" customWidth="1"/>
    <col min="2311" max="2311" width="10.42578125" bestFit="1" customWidth="1"/>
    <col min="2312" max="2312" width="8.5703125" customWidth="1"/>
    <col min="2313" max="2313" width="6" customWidth="1"/>
    <col min="2314" max="2314" width="5.5703125" customWidth="1"/>
    <col min="2315" max="2316" width="5.42578125" customWidth="1"/>
    <col min="2317" max="2317" width="5.5703125" customWidth="1"/>
    <col min="2318" max="2318" width="6.42578125" customWidth="1"/>
    <col min="2319" max="2319" width="5.42578125" customWidth="1"/>
    <col min="2320" max="2320" width="8.42578125" customWidth="1"/>
    <col min="2321" max="2321" width="2.42578125" customWidth="1"/>
    <col min="2322" max="2322" width="8.42578125" customWidth="1"/>
    <col min="2323" max="2323" width="12.42578125" customWidth="1"/>
    <col min="2324" max="2324" width="1.5703125" customWidth="1"/>
    <col min="2325" max="2325" width="7.42578125" customWidth="1"/>
    <col min="2326" max="2326" width="8.42578125" customWidth="1"/>
    <col min="2327" max="2327" width="1.5703125" customWidth="1"/>
    <col min="2328" max="2328" width="15.42578125" customWidth="1"/>
    <col min="2329" max="2329" width="14.42578125" customWidth="1"/>
    <col min="2330" max="2330" width="14.5703125" customWidth="1"/>
    <col min="2331" max="2331" width="1.5703125" customWidth="1"/>
    <col min="2565" max="2565" width="18.42578125" customWidth="1"/>
    <col min="2566" max="2566" width="26.42578125" customWidth="1"/>
    <col min="2567" max="2567" width="10.42578125" bestFit="1" customWidth="1"/>
    <col min="2568" max="2568" width="8.5703125" customWidth="1"/>
    <col min="2569" max="2569" width="6" customWidth="1"/>
    <col min="2570" max="2570" width="5.5703125" customWidth="1"/>
    <col min="2571" max="2572" width="5.42578125" customWidth="1"/>
    <col min="2573" max="2573" width="5.5703125" customWidth="1"/>
    <col min="2574" max="2574" width="6.42578125" customWidth="1"/>
    <col min="2575" max="2575" width="5.42578125" customWidth="1"/>
    <col min="2576" max="2576" width="8.42578125" customWidth="1"/>
    <col min="2577" max="2577" width="2.42578125" customWidth="1"/>
    <col min="2578" max="2578" width="8.42578125" customWidth="1"/>
    <col min="2579" max="2579" width="12.42578125" customWidth="1"/>
    <col min="2580" max="2580" width="1.5703125" customWidth="1"/>
    <col min="2581" max="2581" width="7.42578125" customWidth="1"/>
    <col min="2582" max="2582" width="8.42578125" customWidth="1"/>
    <col min="2583" max="2583" width="1.5703125" customWidth="1"/>
    <col min="2584" max="2584" width="15.42578125" customWidth="1"/>
    <col min="2585" max="2585" width="14.42578125" customWidth="1"/>
    <col min="2586" max="2586" width="14.5703125" customWidth="1"/>
    <col min="2587" max="2587" width="1.5703125" customWidth="1"/>
    <col min="2821" max="2821" width="18.42578125" customWidth="1"/>
    <col min="2822" max="2822" width="26.42578125" customWidth="1"/>
    <col min="2823" max="2823" width="10.42578125" bestFit="1" customWidth="1"/>
    <col min="2824" max="2824" width="8.5703125" customWidth="1"/>
    <col min="2825" max="2825" width="6" customWidth="1"/>
    <col min="2826" max="2826" width="5.5703125" customWidth="1"/>
    <col min="2827" max="2828" width="5.42578125" customWidth="1"/>
    <col min="2829" max="2829" width="5.5703125" customWidth="1"/>
    <col min="2830" max="2830" width="6.42578125" customWidth="1"/>
    <col min="2831" max="2831" width="5.42578125" customWidth="1"/>
    <col min="2832" max="2832" width="8.42578125" customWidth="1"/>
    <col min="2833" max="2833" width="2.42578125" customWidth="1"/>
    <col min="2834" max="2834" width="8.42578125" customWidth="1"/>
    <col min="2835" max="2835" width="12.42578125" customWidth="1"/>
    <col min="2836" max="2836" width="1.5703125" customWidth="1"/>
    <col min="2837" max="2837" width="7.42578125" customWidth="1"/>
    <col min="2838" max="2838" width="8.42578125" customWidth="1"/>
    <col min="2839" max="2839" width="1.5703125" customWidth="1"/>
    <col min="2840" max="2840" width="15.42578125" customWidth="1"/>
    <col min="2841" max="2841" width="14.42578125" customWidth="1"/>
    <col min="2842" max="2842" width="14.5703125" customWidth="1"/>
    <col min="2843" max="2843" width="1.5703125" customWidth="1"/>
    <col min="3077" max="3077" width="18.42578125" customWidth="1"/>
    <col min="3078" max="3078" width="26.42578125" customWidth="1"/>
    <col min="3079" max="3079" width="10.42578125" bestFit="1" customWidth="1"/>
    <col min="3080" max="3080" width="8.5703125" customWidth="1"/>
    <col min="3081" max="3081" width="6" customWidth="1"/>
    <col min="3082" max="3082" width="5.5703125" customWidth="1"/>
    <col min="3083" max="3084" width="5.42578125" customWidth="1"/>
    <col min="3085" max="3085" width="5.5703125" customWidth="1"/>
    <col min="3086" max="3086" width="6.42578125" customWidth="1"/>
    <col min="3087" max="3087" width="5.42578125" customWidth="1"/>
    <col min="3088" max="3088" width="8.42578125" customWidth="1"/>
    <col min="3089" max="3089" width="2.42578125" customWidth="1"/>
    <col min="3090" max="3090" width="8.42578125" customWidth="1"/>
    <col min="3091" max="3091" width="12.42578125" customWidth="1"/>
    <col min="3092" max="3092" width="1.5703125" customWidth="1"/>
    <col min="3093" max="3093" width="7.42578125" customWidth="1"/>
    <col min="3094" max="3094" width="8.42578125" customWidth="1"/>
    <col min="3095" max="3095" width="1.5703125" customWidth="1"/>
    <col min="3096" max="3096" width="15.42578125" customWidth="1"/>
    <col min="3097" max="3097" width="14.42578125" customWidth="1"/>
    <col min="3098" max="3098" width="14.5703125" customWidth="1"/>
    <col min="3099" max="3099" width="1.5703125" customWidth="1"/>
    <col min="3333" max="3333" width="18.42578125" customWidth="1"/>
    <col min="3334" max="3334" width="26.42578125" customWidth="1"/>
    <col min="3335" max="3335" width="10.42578125" bestFit="1" customWidth="1"/>
    <col min="3336" max="3336" width="8.5703125" customWidth="1"/>
    <col min="3337" max="3337" width="6" customWidth="1"/>
    <col min="3338" max="3338" width="5.5703125" customWidth="1"/>
    <col min="3339" max="3340" width="5.42578125" customWidth="1"/>
    <col min="3341" max="3341" width="5.5703125" customWidth="1"/>
    <col min="3342" max="3342" width="6.42578125" customWidth="1"/>
    <col min="3343" max="3343" width="5.42578125" customWidth="1"/>
    <col min="3344" max="3344" width="8.42578125" customWidth="1"/>
    <col min="3345" max="3345" width="2.42578125" customWidth="1"/>
    <col min="3346" max="3346" width="8.42578125" customWidth="1"/>
    <col min="3347" max="3347" width="12.42578125" customWidth="1"/>
    <col min="3348" max="3348" width="1.5703125" customWidth="1"/>
    <col min="3349" max="3349" width="7.42578125" customWidth="1"/>
    <col min="3350" max="3350" width="8.42578125" customWidth="1"/>
    <col min="3351" max="3351" width="1.5703125" customWidth="1"/>
    <col min="3352" max="3352" width="15.42578125" customWidth="1"/>
    <col min="3353" max="3353" width="14.42578125" customWidth="1"/>
    <col min="3354" max="3354" width="14.5703125" customWidth="1"/>
    <col min="3355" max="3355" width="1.5703125" customWidth="1"/>
    <col min="3589" max="3589" width="18.42578125" customWidth="1"/>
    <col min="3590" max="3590" width="26.42578125" customWidth="1"/>
    <col min="3591" max="3591" width="10.42578125" bestFit="1" customWidth="1"/>
    <col min="3592" max="3592" width="8.5703125" customWidth="1"/>
    <col min="3593" max="3593" width="6" customWidth="1"/>
    <col min="3594" max="3594" width="5.5703125" customWidth="1"/>
    <col min="3595" max="3596" width="5.42578125" customWidth="1"/>
    <col min="3597" max="3597" width="5.5703125" customWidth="1"/>
    <col min="3598" max="3598" width="6.42578125" customWidth="1"/>
    <col min="3599" max="3599" width="5.42578125" customWidth="1"/>
    <col min="3600" max="3600" width="8.42578125" customWidth="1"/>
    <col min="3601" max="3601" width="2.42578125" customWidth="1"/>
    <col min="3602" max="3602" width="8.42578125" customWidth="1"/>
    <col min="3603" max="3603" width="12.42578125" customWidth="1"/>
    <col min="3604" max="3604" width="1.5703125" customWidth="1"/>
    <col min="3605" max="3605" width="7.42578125" customWidth="1"/>
    <col min="3606" max="3606" width="8.42578125" customWidth="1"/>
    <col min="3607" max="3607" width="1.5703125" customWidth="1"/>
    <col min="3608" max="3608" width="15.42578125" customWidth="1"/>
    <col min="3609" max="3609" width="14.42578125" customWidth="1"/>
    <col min="3610" max="3610" width="14.5703125" customWidth="1"/>
    <col min="3611" max="3611" width="1.5703125" customWidth="1"/>
    <col min="3845" max="3845" width="18.42578125" customWidth="1"/>
    <col min="3846" max="3846" width="26.42578125" customWidth="1"/>
    <col min="3847" max="3847" width="10.42578125" bestFit="1" customWidth="1"/>
    <col min="3848" max="3848" width="8.5703125" customWidth="1"/>
    <col min="3849" max="3849" width="6" customWidth="1"/>
    <col min="3850" max="3850" width="5.5703125" customWidth="1"/>
    <col min="3851" max="3852" width="5.42578125" customWidth="1"/>
    <col min="3853" max="3853" width="5.5703125" customWidth="1"/>
    <col min="3854" max="3854" width="6.42578125" customWidth="1"/>
    <col min="3855" max="3855" width="5.42578125" customWidth="1"/>
    <col min="3856" max="3856" width="8.42578125" customWidth="1"/>
    <col min="3857" max="3857" width="2.42578125" customWidth="1"/>
    <col min="3858" max="3858" width="8.42578125" customWidth="1"/>
    <col min="3859" max="3859" width="12.42578125" customWidth="1"/>
    <col min="3860" max="3860" width="1.5703125" customWidth="1"/>
    <col min="3861" max="3861" width="7.42578125" customWidth="1"/>
    <col min="3862" max="3862" width="8.42578125" customWidth="1"/>
    <col min="3863" max="3863" width="1.5703125" customWidth="1"/>
    <col min="3864" max="3864" width="15.42578125" customWidth="1"/>
    <col min="3865" max="3865" width="14.42578125" customWidth="1"/>
    <col min="3866" max="3866" width="14.5703125" customWidth="1"/>
    <col min="3867" max="3867" width="1.5703125" customWidth="1"/>
    <col min="4101" max="4101" width="18.42578125" customWidth="1"/>
    <col min="4102" max="4102" width="26.42578125" customWidth="1"/>
    <col min="4103" max="4103" width="10.42578125" bestFit="1" customWidth="1"/>
    <col min="4104" max="4104" width="8.5703125" customWidth="1"/>
    <col min="4105" max="4105" width="6" customWidth="1"/>
    <col min="4106" max="4106" width="5.5703125" customWidth="1"/>
    <col min="4107" max="4108" width="5.42578125" customWidth="1"/>
    <col min="4109" max="4109" width="5.5703125" customWidth="1"/>
    <col min="4110" max="4110" width="6.42578125" customWidth="1"/>
    <col min="4111" max="4111" width="5.42578125" customWidth="1"/>
    <col min="4112" max="4112" width="8.42578125" customWidth="1"/>
    <col min="4113" max="4113" width="2.42578125" customWidth="1"/>
    <col min="4114" max="4114" width="8.42578125" customWidth="1"/>
    <col min="4115" max="4115" width="12.42578125" customWidth="1"/>
    <col min="4116" max="4116" width="1.5703125" customWidth="1"/>
    <col min="4117" max="4117" width="7.42578125" customWidth="1"/>
    <col min="4118" max="4118" width="8.42578125" customWidth="1"/>
    <col min="4119" max="4119" width="1.5703125" customWidth="1"/>
    <col min="4120" max="4120" width="15.42578125" customWidth="1"/>
    <col min="4121" max="4121" width="14.42578125" customWidth="1"/>
    <col min="4122" max="4122" width="14.5703125" customWidth="1"/>
    <col min="4123" max="4123" width="1.5703125" customWidth="1"/>
    <col min="4357" max="4357" width="18.42578125" customWidth="1"/>
    <col min="4358" max="4358" width="26.42578125" customWidth="1"/>
    <col min="4359" max="4359" width="10.42578125" bestFit="1" customWidth="1"/>
    <col min="4360" max="4360" width="8.5703125" customWidth="1"/>
    <col min="4361" max="4361" width="6" customWidth="1"/>
    <col min="4362" max="4362" width="5.5703125" customWidth="1"/>
    <col min="4363" max="4364" width="5.42578125" customWidth="1"/>
    <col min="4365" max="4365" width="5.5703125" customWidth="1"/>
    <col min="4366" max="4366" width="6.42578125" customWidth="1"/>
    <col min="4367" max="4367" width="5.42578125" customWidth="1"/>
    <col min="4368" max="4368" width="8.42578125" customWidth="1"/>
    <col min="4369" max="4369" width="2.42578125" customWidth="1"/>
    <col min="4370" max="4370" width="8.42578125" customWidth="1"/>
    <col min="4371" max="4371" width="12.42578125" customWidth="1"/>
    <col min="4372" max="4372" width="1.5703125" customWidth="1"/>
    <col min="4373" max="4373" width="7.42578125" customWidth="1"/>
    <col min="4374" max="4374" width="8.42578125" customWidth="1"/>
    <col min="4375" max="4375" width="1.5703125" customWidth="1"/>
    <col min="4376" max="4376" width="15.42578125" customWidth="1"/>
    <col min="4377" max="4377" width="14.42578125" customWidth="1"/>
    <col min="4378" max="4378" width="14.5703125" customWidth="1"/>
    <col min="4379" max="4379" width="1.5703125" customWidth="1"/>
    <col min="4613" max="4613" width="18.42578125" customWidth="1"/>
    <col min="4614" max="4614" width="26.42578125" customWidth="1"/>
    <col min="4615" max="4615" width="10.42578125" bestFit="1" customWidth="1"/>
    <col min="4616" max="4616" width="8.5703125" customWidth="1"/>
    <col min="4617" max="4617" width="6" customWidth="1"/>
    <col min="4618" max="4618" width="5.5703125" customWidth="1"/>
    <col min="4619" max="4620" width="5.42578125" customWidth="1"/>
    <col min="4621" max="4621" width="5.5703125" customWidth="1"/>
    <col min="4622" max="4622" width="6.42578125" customWidth="1"/>
    <col min="4623" max="4623" width="5.42578125" customWidth="1"/>
    <col min="4624" max="4624" width="8.42578125" customWidth="1"/>
    <col min="4625" max="4625" width="2.42578125" customWidth="1"/>
    <col min="4626" max="4626" width="8.42578125" customWidth="1"/>
    <col min="4627" max="4627" width="12.42578125" customWidth="1"/>
    <col min="4628" max="4628" width="1.5703125" customWidth="1"/>
    <col min="4629" max="4629" width="7.42578125" customWidth="1"/>
    <col min="4630" max="4630" width="8.42578125" customWidth="1"/>
    <col min="4631" max="4631" width="1.5703125" customWidth="1"/>
    <col min="4632" max="4632" width="15.42578125" customWidth="1"/>
    <col min="4633" max="4633" width="14.42578125" customWidth="1"/>
    <col min="4634" max="4634" width="14.5703125" customWidth="1"/>
    <col min="4635" max="4635" width="1.5703125" customWidth="1"/>
    <col min="4869" max="4869" width="18.42578125" customWidth="1"/>
    <col min="4870" max="4870" width="26.42578125" customWidth="1"/>
    <col min="4871" max="4871" width="10.42578125" bestFit="1" customWidth="1"/>
    <col min="4872" max="4872" width="8.5703125" customWidth="1"/>
    <col min="4873" max="4873" width="6" customWidth="1"/>
    <col min="4874" max="4874" width="5.5703125" customWidth="1"/>
    <col min="4875" max="4876" width="5.42578125" customWidth="1"/>
    <col min="4877" max="4877" width="5.5703125" customWidth="1"/>
    <col min="4878" max="4878" width="6.42578125" customWidth="1"/>
    <col min="4879" max="4879" width="5.42578125" customWidth="1"/>
    <col min="4880" max="4880" width="8.42578125" customWidth="1"/>
    <col min="4881" max="4881" width="2.42578125" customWidth="1"/>
    <col min="4882" max="4882" width="8.42578125" customWidth="1"/>
    <col min="4883" max="4883" width="12.42578125" customWidth="1"/>
    <col min="4884" max="4884" width="1.5703125" customWidth="1"/>
    <col min="4885" max="4885" width="7.42578125" customWidth="1"/>
    <col min="4886" max="4886" width="8.42578125" customWidth="1"/>
    <col min="4887" max="4887" width="1.5703125" customWidth="1"/>
    <col min="4888" max="4888" width="15.42578125" customWidth="1"/>
    <col min="4889" max="4889" width="14.42578125" customWidth="1"/>
    <col min="4890" max="4890" width="14.5703125" customWidth="1"/>
    <col min="4891" max="4891" width="1.5703125" customWidth="1"/>
    <col min="5125" max="5125" width="18.42578125" customWidth="1"/>
    <col min="5126" max="5126" width="26.42578125" customWidth="1"/>
    <col min="5127" max="5127" width="10.42578125" bestFit="1" customWidth="1"/>
    <col min="5128" max="5128" width="8.5703125" customWidth="1"/>
    <col min="5129" max="5129" width="6" customWidth="1"/>
    <col min="5130" max="5130" width="5.5703125" customWidth="1"/>
    <col min="5131" max="5132" width="5.42578125" customWidth="1"/>
    <col min="5133" max="5133" width="5.5703125" customWidth="1"/>
    <col min="5134" max="5134" width="6.42578125" customWidth="1"/>
    <col min="5135" max="5135" width="5.42578125" customWidth="1"/>
    <col min="5136" max="5136" width="8.42578125" customWidth="1"/>
    <col min="5137" max="5137" width="2.42578125" customWidth="1"/>
    <col min="5138" max="5138" width="8.42578125" customWidth="1"/>
    <col min="5139" max="5139" width="12.42578125" customWidth="1"/>
    <col min="5140" max="5140" width="1.5703125" customWidth="1"/>
    <col min="5141" max="5141" width="7.42578125" customWidth="1"/>
    <col min="5142" max="5142" width="8.42578125" customWidth="1"/>
    <col min="5143" max="5143" width="1.5703125" customWidth="1"/>
    <col min="5144" max="5144" width="15.42578125" customWidth="1"/>
    <col min="5145" max="5145" width="14.42578125" customWidth="1"/>
    <col min="5146" max="5146" width="14.5703125" customWidth="1"/>
    <col min="5147" max="5147" width="1.5703125" customWidth="1"/>
    <col min="5381" max="5381" width="18.42578125" customWidth="1"/>
    <col min="5382" max="5382" width="26.42578125" customWidth="1"/>
    <col min="5383" max="5383" width="10.42578125" bestFit="1" customWidth="1"/>
    <col min="5384" max="5384" width="8.5703125" customWidth="1"/>
    <col min="5385" max="5385" width="6" customWidth="1"/>
    <col min="5386" max="5386" width="5.5703125" customWidth="1"/>
    <col min="5387" max="5388" width="5.42578125" customWidth="1"/>
    <col min="5389" max="5389" width="5.5703125" customWidth="1"/>
    <col min="5390" max="5390" width="6.42578125" customWidth="1"/>
    <col min="5391" max="5391" width="5.42578125" customWidth="1"/>
    <col min="5392" max="5392" width="8.42578125" customWidth="1"/>
    <col min="5393" max="5393" width="2.42578125" customWidth="1"/>
    <col min="5394" max="5394" width="8.42578125" customWidth="1"/>
    <col min="5395" max="5395" width="12.42578125" customWidth="1"/>
    <col min="5396" max="5396" width="1.5703125" customWidth="1"/>
    <col min="5397" max="5397" width="7.42578125" customWidth="1"/>
    <col min="5398" max="5398" width="8.42578125" customWidth="1"/>
    <col min="5399" max="5399" width="1.5703125" customWidth="1"/>
    <col min="5400" max="5400" width="15.42578125" customWidth="1"/>
    <col min="5401" max="5401" width="14.42578125" customWidth="1"/>
    <col min="5402" max="5402" width="14.5703125" customWidth="1"/>
    <col min="5403" max="5403" width="1.5703125" customWidth="1"/>
    <col min="5637" max="5637" width="18.42578125" customWidth="1"/>
    <col min="5638" max="5638" width="26.42578125" customWidth="1"/>
    <col min="5639" max="5639" width="10.42578125" bestFit="1" customWidth="1"/>
    <col min="5640" max="5640" width="8.5703125" customWidth="1"/>
    <col min="5641" max="5641" width="6" customWidth="1"/>
    <col min="5642" max="5642" width="5.5703125" customWidth="1"/>
    <col min="5643" max="5644" width="5.42578125" customWidth="1"/>
    <col min="5645" max="5645" width="5.5703125" customWidth="1"/>
    <col min="5646" max="5646" width="6.42578125" customWidth="1"/>
    <col min="5647" max="5647" width="5.42578125" customWidth="1"/>
    <col min="5648" max="5648" width="8.42578125" customWidth="1"/>
    <col min="5649" max="5649" width="2.42578125" customWidth="1"/>
    <col min="5650" max="5650" width="8.42578125" customWidth="1"/>
    <col min="5651" max="5651" width="12.42578125" customWidth="1"/>
    <col min="5652" max="5652" width="1.5703125" customWidth="1"/>
    <col min="5653" max="5653" width="7.42578125" customWidth="1"/>
    <col min="5654" max="5654" width="8.42578125" customWidth="1"/>
    <col min="5655" max="5655" width="1.5703125" customWidth="1"/>
    <col min="5656" max="5656" width="15.42578125" customWidth="1"/>
    <col min="5657" max="5657" width="14.42578125" customWidth="1"/>
    <col min="5658" max="5658" width="14.5703125" customWidth="1"/>
    <col min="5659" max="5659" width="1.5703125" customWidth="1"/>
    <col min="5893" max="5893" width="18.42578125" customWidth="1"/>
    <col min="5894" max="5894" width="26.42578125" customWidth="1"/>
    <col min="5895" max="5895" width="10.42578125" bestFit="1" customWidth="1"/>
    <col min="5896" max="5896" width="8.5703125" customWidth="1"/>
    <col min="5897" max="5897" width="6" customWidth="1"/>
    <col min="5898" max="5898" width="5.5703125" customWidth="1"/>
    <col min="5899" max="5900" width="5.42578125" customWidth="1"/>
    <col min="5901" max="5901" width="5.5703125" customWidth="1"/>
    <col min="5902" max="5902" width="6.42578125" customWidth="1"/>
    <col min="5903" max="5903" width="5.42578125" customWidth="1"/>
    <col min="5904" max="5904" width="8.42578125" customWidth="1"/>
    <col min="5905" max="5905" width="2.42578125" customWidth="1"/>
    <col min="5906" max="5906" width="8.42578125" customWidth="1"/>
    <col min="5907" max="5907" width="12.42578125" customWidth="1"/>
    <col min="5908" max="5908" width="1.5703125" customWidth="1"/>
    <col min="5909" max="5909" width="7.42578125" customWidth="1"/>
    <col min="5910" max="5910" width="8.42578125" customWidth="1"/>
    <col min="5911" max="5911" width="1.5703125" customWidth="1"/>
    <col min="5912" max="5912" width="15.42578125" customWidth="1"/>
    <col min="5913" max="5913" width="14.42578125" customWidth="1"/>
    <col min="5914" max="5914" width="14.5703125" customWidth="1"/>
    <col min="5915" max="5915" width="1.5703125" customWidth="1"/>
    <col min="6149" max="6149" width="18.42578125" customWidth="1"/>
    <col min="6150" max="6150" width="26.42578125" customWidth="1"/>
    <col min="6151" max="6151" width="10.42578125" bestFit="1" customWidth="1"/>
    <col min="6152" max="6152" width="8.5703125" customWidth="1"/>
    <col min="6153" max="6153" width="6" customWidth="1"/>
    <col min="6154" max="6154" width="5.5703125" customWidth="1"/>
    <col min="6155" max="6156" width="5.42578125" customWidth="1"/>
    <col min="6157" max="6157" width="5.5703125" customWidth="1"/>
    <col min="6158" max="6158" width="6.42578125" customWidth="1"/>
    <col min="6159" max="6159" width="5.42578125" customWidth="1"/>
    <col min="6160" max="6160" width="8.42578125" customWidth="1"/>
    <col min="6161" max="6161" width="2.42578125" customWidth="1"/>
    <col min="6162" max="6162" width="8.42578125" customWidth="1"/>
    <col min="6163" max="6163" width="12.42578125" customWidth="1"/>
    <col min="6164" max="6164" width="1.5703125" customWidth="1"/>
    <col min="6165" max="6165" width="7.42578125" customWidth="1"/>
    <col min="6166" max="6166" width="8.42578125" customWidth="1"/>
    <col min="6167" max="6167" width="1.5703125" customWidth="1"/>
    <col min="6168" max="6168" width="15.42578125" customWidth="1"/>
    <col min="6169" max="6169" width="14.42578125" customWidth="1"/>
    <col min="6170" max="6170" width="14.5703125" customWidth="1"/>
    <col min="6171" max="6171" width="1.5703125" customWidth="1"/>
    <col min="6405" max="6405" width="18.42578125" customWidth="1"/>
    <col min="6406" max="6406" width="26.42578125" customWidth="1"/>
    <col min="6407" max="6407" width="10.42578125" bestFit="1" customWidth="1"/>
    <col min="6408" max="6408" width="8.5703125" customWidth="1"/>
    <col min="6409" max="6409" width="6" customWidth="1"/>
    <col min="6410" max="6410" width="5.5703125" customWidth="1"/>
    <col min="6411" max="6412" width="5.42578125" customWidth="1"/>
    <col min="6413" max="6413" width="5.5703125" customWidth="1"/>
    <col min="6414" max="6414" width="6.42578125" customWidth="1"/>
    <col min="6415" max="6415" width="5.42578125" customWidth="1"/>
    <col min="6416" max="6416" width="8.42578125" customWidth="1"/>
    <col min="6417" max="6417" width="2.42578125" customWidth="1"/>
    <col min="6418" max="6418" width="8.42578125" customWidth="1"/>
    <col min="6419" max="6419" width="12.42578125" customWidth="1"/>
    <col min="6420" max="6420" width="1.5703125" customWidth="1"/>
    <col min="6421" max="6421" width="7.42578125" customWidth="1"/>
    <col min="6422" max="6422" width="8.42578125" customWidth="1"/>
    <col min="6423" max="6423" width="1.5703125" customWidth="1"/>
    <col min="6424" max="6424" width="15.42578125" customWidth="1"/>
    <col min="6425" max="6425" width="14.42578125" customWidth="1"/>
    <col min="6426" max="6426" width="14.5703125" customWidth="1"/>
    <col min="6427" max="6427" width="1.5703125" customWidth="1"/>
    <col min="6661" max="6661" width="18.42578125" customWidth="1"/>
    <col min="6662" max="6662" width="26.42578125" customWidth="1"/>
    <col min="6663" max="6663" width="10.42578125" bestFit="1" customWidth="1"/>
    <col min="6664" max="6664" width="8.5703125" customWidth="1"/>
    <col min="6665" max="6665" width="6" customWidth="1"/>
    <col min="6666" max="6666" width="5.5703125" customWidth="1"/>
    <col min="6667" max="6668" width="5.42578125" customWidth="1"/>
    <col min="6669" max="6669" width="5.5703125" customWidth="1"/>
    <col min="6670" max="6670" width="6.42578125" customWidth="1"/>
    <col min="6671" max="6671" width="5.42578125" customWidth="1"/>
    <col min="6672" max="6672" width="8.42578125" customWidth="1"/>
    <col min="6673" max="6673" width="2.42578125" customWidth="1"/>
    <col min="6674" max="6674" width="8.42578125" customWidth="1"/>
    <col min="6675" max="6675" width="12.42578125" customWidth="1"/>
    <col min="6676" max="6676" width="1.5703125" customWidth="1"/>
    <col min="6677" max="6677" width="7.42578125" customWidth="1"/>
    <col min="6678" max="6678" width="8.42578125" customWidth="1"/>
    <col min="6679" max="6679" width="1.5703125" customWidth="1"/>
    <col min="6680" max="6680" width="15.42578125" customWidth="1"/>
    <col min="6681" max="6681" width="14.42578125" customWidth="1"/>
    <col min="6682" max="6682" width="14.5703125" customWidth="1"/>
    <col min="6683" max="6683" width="1.5703125" customWidth="1"/>
    <col min="6917" max="6917" width="18.42578125" customWidth="1"/>
    <col min="6918" max="6918" width="26.42578125" customWidth="1"/>
    <col min="6919" max="6919" width="10.42578125" bestFit="1" customWidth="1"/>
    <col min="6920" max="6920" width="8.5703125" customWidth="1"/>
    <col min="6921" max="6921" width="6" customWidth="1"/>
    <col min="6922" max="6922" width="5.5703125" customWidth="1"/>
    <col min="6923" max="6924" width="5.42578125" customWidth="1"/>
    <col min="6925" max="6925" width="5.5703125" customWidth="1"/>
    <col min="6926" max="6926" width="6.42578125" customWidth="1"/>
    <col min="6927" max="6927" width="5.42578125" customWidth="1"/>
    <col min="6928" max="6928" width="8.42578125" customWidth="1"/>
    <col min="6929" max="6929" width="2.42578125" customWidth="1"/>
    <col min="6930" max="6930" width="8.42578125" customWidth="1"/>
    <col min="6931" max="6931" width="12.42578125" customWidth="1"/>
    <col min="6932" max="6932" width="1.5703125" customWidth="1"/>
    <col min="6933" max="6933" width="7.42578125" customWidth="1"/>
    <col min="6934" max="6934" width="8.42578125" customWidth="1"/>
    <col min="6935" max="6935" width="1.5703125" customWidth="1"/>
    <col min="6936" max="6936" width="15.42578125" customWidth="1"/>
    <col min="6937" max="6937" width="14.42578125" customWidth="1"/>
    <col min="6938" max="6938" width="14.5703125" customWidth="1"/>
    <col min="6939" max="6939" width="1.5703125" customWidth="1"/>
    <col min="7173" max="7173" width="18.42578125" customWidth="1"/>
    <col min="7174" max="7174" width="26.42578125" customWidth="1"/>
    <col min="7175" max="7175" width="10.42578125" bestFit="1" customWidth="1"/>
    <col min="7176" max="7176" width="8.5703125" customWidth="1"/>
    <col min="7177" max="7177" width="6" customWidth="1"/>
    <col min="7178" max="7178" width="5.5703125" customWidth="1"/>
    <col min="7179" max="7180" width="5.42578125" customWidth="1"/>
    <col min="7181" max="7181" width="5.5703125" customWidth="1"/>
    <col min="7182" max="7182" width="6.42578125" customWidth="1"/>
    <col min="7183" max="7183" width="5.42578125" customWidth="1"/>
    <col min="7184" max="7184" width="8.42578125" customWidth="1"/>
    <col min="7185" max="7185" width="2.42578125" customWidth="1"/>
    <col min="7186" max="7186" width="8.42578125" customWidth="1"/>
    <col min="7187" max="7187" width="12.42578125" customWidth="1"/>
    <col min="7188" max="7188" width="1.5703125" customWidth="1"/>
    <col min="7189" max="7189" width="7.42578125" customWidth="1"/>
    <col min="7190" max="7190" width="8.42578125" customWidth="1"/>
    <col min="7191" max="7191" width="1.5703125" customWidth="1"/>
    <col min="7192" max="7192" width="15.42578125" customWidth="1"/>
    <col min="7193" max="7193" width="14.42578125" customWidth="1"/>
    <col min="7194" max="7194" width="14.5703125" customWidth="1"/>
    <col min="7195" max="7195" width="1.5703125" customWidth="1"/>
    <col min="7429" max="7429" width="18.42578125" customWidth="1"/>
    <col min="7430" max="7430" width="26.42578125" customWidth="1"/>
    <col min="7431" max="7431" width="10.42578125" bestFit="1" customWidth="1"/>
    <col min="7432" max="7432" width="8.5703125" customWidth="1"/>
    <col min="7433" max="7433" width="6" customWidth="1"/>
    <col min="7434" max="7434" width="5.5703125" customWidth="1"/>
    <col min="7435" max="7436" width="5.42578125" customWidth="1"/>
    <col min="7437" max="7437" width="5.5703125" customWidth="1"/>
    <col min="7438" max="7438" width="6.42578125" customWidth="1"/>
    <col min="7439" max="7439" width="5.42578125" customWidth="1"/>
    <col min="7440" max="7440" width="8.42578125" customWidth="1"/>
    <col min="7441" max="7441" width="2.42578125" customWidth="1"/>
    <col min="7442" max="7442" width="8.42578125" customWidth="1"/>
    <col min="7443" max="7443" width="12.42578125" customWidth="1"/>
    <col min="7444" max="7444" width="1.5703125" customWidth="1"/>
    <col min="7445" max="7445" width="7.42578125" customWidth="1"/>
    <col min="7446" max="7446" width="8.42578125" customWidth="1"/>
    <col min="7447" max="7447" width="1.5703125" customWidth="1"/>
    <col min="7448" max="7448" width="15.42578125" customWidth="1"/>
    <col min="7449" max="7449" width="14.42578125" customWidth="1"/>
    <col min="7450" max="7450" width="14.5703125" customWidth="1"/>
    <col min="7451" max="7451" width="1.5703125" customWidth="1"/>
    <col min="7685" max="7685" width="18.42578125" customWidth="1"/>
    <col min="7686" max="7686" width="26.42578125" customWidth="1"/>
    <col min="7687" max="7687" width="10.42578125" bestFit="1" customWidth="1"/>
    <col min="7688" max="7688" width="8.5703125" customWidth="1"/>
    <col min="7689" max="7689" width="6" customWidth="1"/>
    <col min="7690" max="7690" width="5.5703125" customWidth="1"/>
    <col min="7691" max="7692" width="5.42578125" customWidth="1"/>
    <col min="7693" max="7693" width="5.5703125" customWidth="1"/>
    <col min="7694" max="7694" width="6.42578125" customWidth="1"/>
    <col min="7695" max="7695" width="5.42578125" customWidth="1"/>
    <col min="7696" max="7696" width="8.42578125" customWidth="1"/>
    <col min="7697" max="7697" width="2.42578125" customWidth="1"/>
    <col min="7698" max="7698" width="8.42578125" customWidth="1"/>
    <col min="7699" max="7699" width="12.42578125" customWidth="1"/>
    <col min="7700" max="7700" width="1.5703125" customWidth="1"/>
    <col min="7701" max="7701" width="7.42578125" customWidth="1"/>
    <col min="7702" max="7702" width="8.42578125" customWidth="1"/>
    <col min="7703" max="7703" width="1.5703125" customWidth="1"/>
    <col min="7704" max="7704" width="15.42578125" customWidth="1"/>
    <col min="7705" max="7705" width="14.42578125" customWidth="1"/>
    <col min="7706" max="7706" width="14.5703125" customWidth="1"/>
    <col min="7707" max="7707" width="1.5703125" customWidth="1"/>
    <col min="7941" max="7941" width="18.42578125" customWidth="1"/>
    <col min="7942" max="7942" width="26.42578125" customWidth="1"/>
    <col min="7943" max="7943" width="10.42578125" bestFit="1" customWidth="1"/>
    <col min="7944" max="7944" width="8.5703125" customWidth="1"/>
    <col min="7945" max="7945" width="6" customWidth="1"/>
    <col min="7946" max="7946" width="5.5703125" customWidth="1"/>
    <col min="7947" max="7948" width="5.42578125" customWidth="1"/>
    <col min="7949" max="7949" width="5.5703125" customWidth="1"/>
    <col min="7950" max="7950" width="6.42578125" customWidth="1"/>
    <col min="7951" max="7951" width="5.42578125" customWidth="1"/>
    <col min="7952" max="7952" width="8.42578125" customWidth="1"/>
    <col min="7953" max="7953" width="2.42578125" customWidth="1"/>
    <col min="7954" max="7954" width="8.42578125" customWidth="1"/>
    <col min="7955" max="7955" width="12.42578125" customWidth="1"/>
    <col min="7956" max="7956" width="1.5703125" customWidth="1"/>
    <col min="7957" max="7957" width="7.42578125" customWidth="1"/>
    <col min="7958" max="7958" width="8.42578125" customWidth="1"/>
    <col min="7959" max="7959" width="1.5703125" customWidth="1"/>
    <col min="7960" max="7960" width="15.42578125" customWidth="1"/>
    <col min="7961" max="7961" width="14.42578125" customWidth="1"/>
    <col min="7962" max="7962" width="14.5703125" customWidth="1"/>
    <col min="7963" max="7963" width="1.5703125" customWidth="1"/>
    <col min="8197" max="8197" width="18.42578125" customWidth="1"/>
    <col min="8198" max="8198" width="26.42578125" customWidth="1"/>
    <col min="8199" max="8199" width="10.42578125" bestFit="1" customWidth="1"/>
    <col min="8200" max="8200" width="8.5703125" customWidth="1"/>
    <col min="8201" max="8201" width="6" customWidth="1"/>
    <col min="8202" max="8202" width="5.5703125" customWidth="1"/>
    <col min="8203" max="8204" width="5.42578125" customWidth="1"/>
    <col min="8205" max="8205" width="5.5703125" customWidth="1"/>
    <col min="8206" max="8206" width="6.42578125" customWidth="1"/>
    <col min="8207" max="8207" width="5.42578125" customWidth="1"/>
    <col min="8208" max="8208" width="8.42578125" customWidth="1"/>
    <col min="8209" max="8209" width="2.42578125" customWidth="1"/>
    <col min="8210" max="8210" width="8.42578125" customWidth="1"/>
    <col min="8211" max="8211" width="12.42578125" customWidth="1"/>
    <col min="8212" max="8212" width="1.5703125" customWidth="1"/>
    <col min="8213" max="8213" width="7.42578125" customWidth="1"/>
    <col min="8214" max="8214" width="8.42578125" customWidth="1"/>
    <col min="8215" max="8215" width="1.5703125" customWidth="1"/>
    <col min="8216" max="8216" width="15.42578125" customWidth="1"/>
    <col min="8217" max="8217" width="14.42578125" customWidth="1"/>
    <col min="8218" max="8218" width="14.5703125" customWidth="1"/>
    <col min="8219" max="8219" width="1.5703125" customWidth="1"/>
    <col min="8453" max="8453" width="18.42578125" customWidth="1"/>
    <col min="8454" max="8454" width="26.42578125" customWidth="1"/>
    <col min="8455" max="8455" width="10.42578125" bestFit="1" customWidth="1"/>
    <col min="8456" max="8456" width="8.5703125" customWidth="1"/>
    <col min="8457" max="8457" width="6" customWidth="1"/>
    <col min="8458" max="8458" width="5.5703125" customWidth="1"/>
    <col min="8459" max="8460" width="5.42578125" customWidth="1"/>
    <col min="8461" max="8461" width="5.5703125" customWidth="1"/>
    <col min="8462" max="8462" width="6.42578125" customWidth="1"/>
    <col min="8463" max="8463" width="5.42578125" customWidth="1"/>
    <col min="8464" max="8464" width="8.42578125" customWidth="1"/>
    <col min="8465" max="8465" width="2.42578125" customWidth="1"/>
    <col min="8466" max="8466" width="8.42578125" customWidth="1"/>
    <col min="8467" max="8467" width="12.42578125" customWidth="1"/>
    <col min="8468" max="8468" width="1.5703125" customWidth="1"/>
    <col min="8469" max="8469" width="7.42578125" customWidth="1"/>
    <col min="8470" max="8470" width="8.42578125" customWidth="1"/>
    <col min="8471" max="8471" width="1.5703125" customWidth="1"/>
    <col min="8472" max="8472" width="15.42578125" customWidth="1"/>
    <col min="8473" max="8473" width="14.42578125" customWidth="1"/>
    <col min="8474" max="8474" width="14.5703125" customWidth="1"/>
    <col min="8475" max="8475" width="1.5703125" customWidth="1"/>
    <col min="8709" max="8709" width="18.42578125" customWidth="1"/>
    <col min="8710" max="8710" width="26.42578125" customWidth="1"/>
    <col min="8711" max="8711" width="10.42578125" bestFit="1" customWidth="1"/>
    <col min="8712" max="8712" width="8.5703125" customWidth="1"/>
    <col min="8713" max="8713" width="6" customWidth="1"/>
    <col min="8714" max="8714" width="5.5703125" customWidth="1"/>
    <col min="8715" max="8716" width="5.42578125" customWidth="1"/>
    <col min="8717" max="8717" width="5.5703125" customWidth="1"/>
    <col min="8718" max="8718" width="6.42578125" customWidth="1"/>
    <col min="8719" max="8719" width="5.42578125" customWidth="1"/>
    <col min="8720" max="8720" width="8.42578125" customWidth="1"/>
    <col min="8721" max="8721" width="2.42578125" customWidth="1"/>
    <col min="8722" max="8722" width="8.42578125" customWidth="1"/>
    <col min="8723" max="8723" width="12.42578125" customWidth="1"/>
    <col min="8724" max="8724" width="1.5703125" customWidth="1"/>
    <col min="8725" max="8725" width="7.42578125" customWidth="1"/>
    <col min="8726" max="8726" width="8.42578125" customWidth="1"/>
    <col min="8727" max="8727" width="1.5703125" customWidth="1"/>
    <col min="8728" max="8728" width="15.42578125" customWidth="1"/>
    <col min="8729" max="8729" width="14.42578125" customWidth="1"/>
    <col min="8730" max="8730" width="14.5703125" customWidth="1"/>
    <col min="8731" max="8731" width="1.5703125" customWidth="1"/>
    <col min="8965" max="8965" width="18.42578125" customWidth="1"/>
    <col min="8966" max="8966" width="26.42578125" customWidth="1"/>
    <col min="8967" max="8967" width="10.42578125" bestFit="1" customWidth="1"/>
    <col min="8968" max="8968" width="8.5703125" customWidth="1"/>
    <col min="8969" max="8969" width="6" customWidth="1"/>
    <col min="8970" max="8970" width="5.5703125" customWidth="1"/>
    <col min="8971" max="8972" width="5.42578125" customWidth="1"/>
    <col min="8973" max="8973" width="5.5703125" customWidth="1"/>
    <col min="8974" max="8974" width="6.42578125" customWidth="1"/>
    <col min="8975" max="8975" width="5.42578125" customWidth="1"/>
    <col min="8976" max="8976" width="8.42578125" customWidth="1"/>
    <col min="8977" max="8977" width="2.42578125" customWidth="1"/>
    <col min="8978" max="8978" width="8.42578125" customWidth="1"/>
    <col min="8979" max="8979" width="12.42578125" customWidth="1"/>
    <col min="8980" max="8980" width="1.5703125" customWidth="1"/>
    <col min="8981" max="8981" width="7.42578125" customWidth="1"/>
    <col min="8982" max="8982" width="8.42578125" customWidth="1"/>
    <col min="8983" max="8983" width="1.5703125" customWidth="1"/>
    <col min="8984" max="8984" width="15.42578125" customWidth="1"/>
    <col min="8985" max="8985" width="14.42578125" customWidth="1"/>
    <col min="8986" max="8986" width="14.5703125" customWidth="1"/>
    <col min="8987" max="8987" width="1.5703125" customWidth="1"/>
    <col min="9221" max="9221" width="18.42578125" customWidth="1"/>
    <col min="9222" max="9222" width="26.42578125" customWidth="1"/>
    <col min="9223" max="9223" width="10.42578125" bestFit="1" customWidth="1"/>
    <col min="9224" max="9224" width="8.5703125" customWidth="1"/>
    <col min="9225" max="9225" width="6" customWidth="1"/>
    <col min="9226" max="9226" width="5.5703125" customWidth="1"/>
    <col min="9227" max="9228" width="5.42578125" customWidth="1"/>
    <col min="9229" max="9229" width="5.5703125" customWidth="1"/>
    <col min="9230" max="9230" width="6.42578125" customWidth="1"/>
    <col min="9231" max="9231" width="5.42578125" customWidth="1"/>
    <col min="9232" max="9232" width="8.42578125" customWidth="1"/>
    <col min="9233" max="9233" width="2.42578125" customWidth="1"/>
    <col min="9234" max="9234" width="8.42578125" customWidth="1"/>
    <col min="9235" max="9235" width="12.42578125" customWidth="1"/>
    <col min="9236" max="9236" width="1.5703125" customWidth="1"/>
    <col min="9237" max="9237" width="7.42578125" customWidth="1"/>
    <col min="9238" max="9238" width="8.42578125" customWidth="1"/>
    <col min="9239" max="9239" width="1.5703125" customWidth="1"/>
    <col min="9240" max="9240" width="15.42578125" customWidth="1"/>
    <col min="9241" max="9241" width="14.42578125" customWidth="1"/>
    <col min="9242" max="9242" width="14.5703125" customWidth="1"/>
    <col min="9243" max="9243" width="1.5703125" customWidth="1"/>
    <col min="9477" max="9477" width="18.42578125" customWidth="1"/>
    <col min="9478" max="9478" width="26.42578125" customWidth="1"/>
    <col min="9479" max="9479" width="10.42578125" bestFit="1" customWidth="1"/>
    <col min="9480" max="9480" width="8.5703125" customWidth="1"/>
    <col min="9481" max="9481" width="6" customWidth="1"/>
    <col min="9482" max="9482" width="5.5703125" customWidth="1"/>
    <col min="9483" max="9484" width="5.42578125" customWidth="1"/>
    <col min="9485" max="9485" width="5.5703125" customWidth="1"/>
    <col min="9486" max="9486" width="6.42578125" customWidth="1"/>
    <col min="9487" max="9487" width="5.42578125" customWidth="1"/>
    <col min="9488" max="9488" width="8.42578125" customWidth="1"/>
    <col min="9489" max="9489" width="2.42578125" customWidth="1"/>
    <col min="9490" max="9490" width="8.42578125" customWidth="1"/>
    <col min="9491" max="9491" width="12.42578125" customWidth="1"/>
    <col min="9492" max="9492" width="1.5703125" customWidth="1"/>
    <col min="9493" max="9493" width="7.42578125" customWidth="1"/>
    <col min="9494" max="9494" width="8.42578125" customWidth="1"/>
    <col min="9495" max="9495" width="1.5703125" customWidth="1"/>
    <col min="9496" max="9496" width="15.42578125" customWidth="1"/>
    <col min="9497" max="9497" width="14.42578125" customWidth="1"/>
    <col min="9498" max="9498" width="14.5703125" customWidth="1"/>
    <col min="9499" max="9499" width="1.5703125" customWidth="1"/>
    <col min="9733" max="9733" width="18.42578125" customWidth="1"/>
    <col min="9734" max="9734" width="26.42578125" customWidth="1"/>
    <col min="9735" max="9735" width="10.42578125" bestFit="1" customWidth="1"/>
    <col min="9736" max="9736" width="8.5703125" customWidth="1"/>
    <col min="9737" max="9737" width="6" customWidth="1"/>
    <col min="9738" max="9738" width="5.5703125" customWidth="1"/>
    <col min="9739" max="9740" width="5.42578125" customWidth="1"/>
    <col min="9741" max="9741" width="5.5703125" customWidth="1"/>
    <col min="9742" max="9742" width="6.42578125" customWidth="1"/>
    <col min="9743" max="9743" width="5.42578125" customWidth="1"/>
    <col min="9744" max="9744" width="8.42578125" customWidth="1"/>
    <col min="9745" max="9745" width="2.42578125" customWidth="1"/>
    <col min="9746" max="9746" width="8.42578125" customWidth="1"/>
    <col min="9747" max="9747" width="12.42578125" customWidth="1"/>
    <col min="9748" max="9748" width="1.5703125" customWidth="1"/>
    <col min="9749" max="9749" width="7.42578125" customWidth="1"/>
    <col min="9750" max="9750" width="8.42578125" customWidth="1"/>
    <col min="9751" max="9751" width="1.5703125" customWidth="1"/>
    <col min="9752" max="9752" width="15.42578125" customWidth="1"/>
    <col min="9753" max="9753" width="14.42578125" customWidth="1"/>
    <col min="9754" max="9754" width="14.5703125" customWidth="1"/>
    <col min="9755" max="9755" width="1.5703125" customWidth="1"/>
    <col min="9989" max="9989" width="18.42578125" customWidth="1"/>
    <col min="9990" max="9990" width="26.42578125" customWidth="1"/>
    <col min="9991" max="9991" width="10.42578125" bestFit="1" customWidth="1"/>
    <col min="9992" max="9992" width="8.5703125" customWidth="1"/>
    <col min="9993" max="9993" width="6" customWidth="1"/>
    <col min="9994" max="9994" width="5.5703125" customWidth="1"/>
    <col min="9995" max="9996" width="5.42578125" customWidth="1"/>
    <col min="9997" max="9997" width="5.5703125" customWidth="1"/>
    <col min="9998" max="9998" width="6.42578125" customWidth="1"/>
    <col min="9999" max="9999" width="5.42578125" customWidth="1"/>
    <col min="10000" max="10000" width="8.42578125" customWidth="1"/>
    <col min="10001" max="10001" width="2.42578125" customWidth="1"/>
    <col min="10002" max="10002" width="8.42578125" customWidth="1"/>
    <col min="10003" max="10003" width="12.42578125" customWidth="1"/>
    <col min="10004" max="10004" width="1.5703125" customWidth="1"/>
    <col min="10005" max="10005" width="7.42578125" customWidth="1"/>
    <col min="10006" max="10006" width="8.42578125" customWidth="1"/>
    <col min="10007" max="10007" width="1.5703125" customWidth="1"/>
    <col min="10008" max="10008" width="15.42578125" customWidth="1"/>
    <col min="10009" max="10009" width="14.42578125" customWidth="1"/>
    <col min="10010" max="10010" width="14.5703125" customWidth="1"/>
    <col min="10011" max="10011" width="1.5703125" customWidth="1"/>
    <col min="10245" max="10245" width="18.42578125" customWidth="1"/>
    <col min="10246" max="10246" width="26.42578125" customWidth="1"/>
    <col min="10247" max="10247" width="10.42578125" bestFit="1" customWidth="1"/>
    <col min="10248" max="10248" width="8.5703125" customWidth="1"/>
    <col min="10249" max="10249" width="6" customWidth="1"/>
    <col min="10250" max="10250" width="5.5703125" customWidth="1"/>
    <col min="10251" max="10252" width="5.42578125" customWidth="1"/>
    <col min="10253" max="10253" width="5.5703125" customWidth="1"/>
    <col min="10254" max="10254" width="6.42578125" customWidth="1"/>
    <col min="10255" max="10255" width="5.42578125" customWidth="1"/>
    <col min="10256" max="10256" width="8.42578125" customWidth="1"/>
    <col min="10257" max="10257" width="2.42578125" customWidth="1"/>
    <col min="10258" max="10258" width="8.42578125" customWidth="1"/>
    <col min="10259" max="10259" width="12.42578125" customWidth="1"/>
    <col min="10260" max="10260" width="1.5703125" customWidth="1"/>
    <col min="10261" max="10261" width="7.42578125" customWidth="1"/>
    <col min="10262" max="10262" width="8.42578125" customWidth="1"/>
    <col min="10263" max="10263" width="1.5703125" customWidth="1"/>
    <col min="10264" max="10264" width="15.42578125" customWidth="1"/>
    <col min="10265" max="10265" width="14.42578125" customWidth="1"/>
    <col min="10266" max="10266" width="14.5703125" customWidth="1"/>
    <col min="10267" max="10267" width="1.5703125" customWidth="1"/>
    <col min="10501" max="10501" width="18.42578125" customWidth="1"/>
    <col min="10502" max="10502" width="26.42578125" customWidth="1"/>
    <col min="10503" max="10503" width="10.42578125" bestFit="1" customWidth="1"/>
    <col min="10504" max="10504" width="8.5703125" customWidth="1"/>
    <col min="10505" max="10505" width="6" customWidth="1"/>
    <col min="10506" max="10506" width="5.5703125" customWidth="1"/>
    <col min="10507" max="10508" width="5.42578125" customWidth="1"/>
    <col min="10509" max="10509" width="5.5703125" customWidth="1"/>
    <col min="10510" max="10510" width="6.42578125" customWidth="1"/>
    <col min="10511" max="10511" width="5.42578125" customWidth="1"/>
    <col min="10512" max="10512" width="8.42578125" customWidth="1"/>
    <col min="10513" max="10513" width="2.42578125" customWidth="1"/>
    <col min="10514" max="10514" width="8.42578125" customWidth="1"/>
    <col min="10515" max="10515" width="12.42578125" customWidth="1"/>
    <col min="10516" max="10516" width="1.5703125" customWidth="1"/>
    <col min="10517" max="10517" width="7.42578125" customWidth="1"/>
    <col min="10518" max="10518" width="8.42578125" customWidth="1"/>
    <col min="10519" max="10519" width="1.5703125" customWidth="1"/>
    <col min="10520" max="10520" width="15.42578125" customWidth="1"/>
    <col min="10521" max="10521" width="14.42578125" customWidth="1"/>
    <col min="10522" max="10522" width="14.5703125" customWidth="1"/>
    <col min="10523" max="10523" width="1.5703125" customWidth="1"/>
    <col min="10757" max="10757" width="18.42578125" customWidth="1"/>
    <col min="10758" max="10758" width="26.42578125" customWidth="1"/>
    <col min="10759" max="10759" width="10.42578125" bestFit="1" customWidth="1"/>
    <col min="10760" max="10760" width="8.5703125" customWidth="1"/>
    <col min="10761" max="10761" width="6" customWidth="1"/>
    <col min="10762" max="10762" width="5.5703125" customWidth="1"/>
    <col min="10763" max="10764" width="5.42578125" customWidth="1"/>
    <col min="10765" max="10765" width="5.5703125" customWidth="1"/>
    <col min="10766" max="10766" width="6.42578125" customWidth="1"/>
    <col min="10767" max="10767" width="5.42578125" customWidth="1"/>
    <col min="10768" max="10768" width="8.42578125" customWidth="1"/>
    <col min="10769" max="10769" width="2.42578125" customWidth="1"/>
    <col min="10770" max="10770" width="8.42578125" customWidth="1"/>
    <col min="10771" max="10771" width="12.42578125" customWidth="1"/>
    <col min="10772" max="10772" width="1.5703125" customWidth="1"/>
    <col min="10773" max="10773" width="7.42578125" customWidth="1"/>
    <col min="10774" max="10774" width="8.42578125" customWidth="1"/>
    <col min="10775" max="10775" width="1.5703125" customWidth="1"/>
    <col min="10776" max="10776" width="15.42578125" customWidth="1"/>
    <col min="10777" max="10777" width="14.42578125" customWidth="1"/>
    <col min="10778" max="10778" width="14.5703125" customWidth="1"/>
    <col min="10779" max="10779" width="1.5703125" customWidth="1"/>
    <col min="11013" max="11013" width="18.42578125" customWidth="1"/>
    <col min="11014" max="11014" width="26.42578125" customWidth="1"/>
    <col min="11015" max="11015" width="10.42578125" bestFit="1" customWidth="1"/>
    <col min="11016" max="11016" width="8.5703125" customWidth="1"/>
    <col min="11017" max="11017" width="6" customWidth="1"/>
    <col min="11018" max="11018" width="5.5703125" customWidth="1"/>
    <col min="11019" max="11020" width="5.42578125" customWidth="1"/>
    <col min="11021" max="11021" width="5.5703125" customWidth="1"/>
    <col min="11022" max="11022" width="6.42578125" customWidth="1"/>
    <col min="11023" max="11023" width="5.42578125" customWidth="1"/>
    <col min="11024" max="11024" width="8.42578125" customWidth="1"/>
    <col min="11025" max="11025" width="2.42578125" customWidth="1"/>
    <col min="11026" max="11026" width="8.42578125" customWidth="1"/>
    <col min="11027" max="11027" width="12.42578125" customWidth="1"/>
    <col min="11028" max="11028" width="1.5703125" customWidth="1"/>
    <col min="11029" max="11029" width="7.42578125" customWidth="1"/>
    <col min="11030" max="11030" width="8.42578125" customWidth="1"/>
    <col min="11031" max="11031" width="1.5703125" customWidth="1"/>
    <col min="11032" max="11032" width="15.42578125" customWidth="1"/>
    <col min="11033" max="11033" width="14.42578125" customWidth="1"/>
    <col min="11034" max="11034" width="14.5703125" customWidth="1"/>
    <col min="11035" max="11035" width="1.5703125" customWidth="1"/>
    <col min="11269" max="11269" width="18.42578125" customWidth="1"/>
    <col min="11270" max="11270" width="26.42578125" customWidth="1"/>
    <col min="11271" max="11271" width="10.42578125" bestFit="1" customWidth="1"/>
    <col min="11272" max="11272" width="8.5703125" customWidth="1"/>
    <col min="11273" max="11273" width="6" customWidth="1"/>
    <col min="11274" max="11274" width="5.5703125" customWidth="1"/>
    <col min="11275" max="11276" width="5.42578125" customWidth="1"/>
    <col min="11277" max="11277" width="5.5703125" customWidth="1"/>
    <col min="11278" max="11278" width="6.42578125" customWidth="1"/>
    <col min="11279" max="11279" width="5.42578125" customWidth="1"/>
    <col min="11280" max="11280" width="8.42578125" customWidth="1"/>
    <col min="11281" max="11281" width="2.42578125" customWidth="1"/>
    <col min="11282" max="11282" width="8.42578125" customWidth="1"/>
    <col min="11283" max="11283" width="12.42578125" customWidth="1"/>
    <col min="11284" max="11284" width="1.5703125" customWidth="1"/>
    <col min="11285" max="11285" width="7.42578125" customWidth="1"/>
    <col min="11286" max="11286" width="8.42578125" customWidth="1"/>
    <col min="11287" max="11287" width="1.5703125" customWidth="1"/>
    <col min="11288" max="11288" width="15.42578125" customWidth="1"/>
    <col min="11289" max="11289" width="14.42578125" customWidth="1"/>
    <col min="11290" max="11290" width="14.5703125" customWidth="1"/>
    <col min="11291" max="11291" width="1.5703125" customWidth="1"/>
    <col min="11525" max="11525" width="18.42578125" customWidth="1"/>
    <col min="11526" max="11526" width="26.42578125" customWidth="1"/>
    <col min="11527" max="11527" width="10.42578125" bestFit="1" customWidth="1"/>
    <col min="11528" max="11528" width="8.5703125" customWidth="1"/>
    <col min="11529" max="11529" width="6" customWidth="1"/>
    <col min="11530" max="11530" width="5.5703125" customWidth="1"/>
    <col min="11531" max="11532" width="5.42578125" customWidth="1"/>
    <col min="11533" max="11533" width="5.5703125" customWidth="1"/>
    <col min="11534" max="11534" width="6.42578125" customWidth="1"/>
    <col min="11535" max="11535" width="5.42578125" customWidth="1"/>
    <col min="11536" max="11536" width="8.42578125" customWidth="1"/>
    <col min="11537" max="11537" width="2.42578125" customWidth="1"/>
    <col min="11538" max="11538" width="8.42578125" customWidth="1"/>
    <col min="11539" max="11539" width="12.42578125" customWidth="1"/>
    <col min="11540" max="11540" width="1.5703125" customWidth="1"/>
    <col min="11541" max="11541" width="7.42578125" customWidth="1"/>
    <col min="11542" max="11542" width="8.42578125" customWidth="1"/>
    <col min="11543" max="11543" width="1.5703125" customWidth="1"/>
    <col min="11544" max="11544" width="15.42578125" customWidth="1"/>
    <col min="11545" max="11545" width="14.42578125" customWidth="1"/>
    <col min="11546" max="11546" width="14.5703125" customWidth="1"/>
    <col min="11547" max="11547" width="1.5703125" customWidth="1"/>
    <col min="11781" max="11781" width="18.42578125" customWidth="1"/>
    <col min="11782" max="11782" width="26.42578125" customWidth="1"/>
    <col min="11783" max="11783" width="10.42578125" bestFit="1" customWidth="1"/>
    <col min="11784" max="11784" width="8.5703125" customWidth="1"/>
    <col min="11785" max="11785" width="6" customWidth="1"/>
    <col min="11786" max="11786" width="5.5703125" customWidth="1"/>
    <col min="11787" max="11788" width="5.42578125" customWidth="1"/>
    <col min="11789" max="11789" width="5.5703125" customWidth="1"/>
    <col min="11790" max="11790" width="6.42578125" customWidth="1"/>
    <col min="11791" max="11791" width="5.42578125" customWidth="1"/>
    <col min="11792" max="11792" width="8.42578125" customWidth="1"/>
    <col min="11793" max="11793" width="2.42578125" customWidth="1"/>
    <col min="11794" max="11794" width="8.42578125" customWidth="1"/>
    <col min="11795" max="11795" width="12.42578125" customWidth="1"/>
    <col min="11796" max="11796" width="1.5703125" customWidth="1"/>
    <col min="11797" max="11797" width="7.42578125" customWidth="1"/>
    <col min="11798" max="11798" width="8.42578125" customWidth="1"/>
    <col min="11799" max="11799" width="1.5703125" customWidth="1"/>
    <col min="11800" max="11800" width="15.42578125" customWidth="1"/>
    <col min="11801" max="11801" width="14.42578125" customWidth="1"/>
    <col min="11802" max="11802" width="14.5703125" customWidth="1"/>
    <col min="11803" max="11803" width="1.5703125" customWidth="1"/>
    <col min="12037" max="12037" width="18.42578125" customWidth="1"/>
    <col min="12038" max="12038" width="26.42578125" customWidth="1"/>
    <col min="12039" max="12039" width="10.42578125" bestFit="1" customWidth="1"/>
    <col min="12040" max="12040" width="8.5703125" customWidth="1"/>
    <col min="12041" max="12041" width="6" customWidth="1"/>
    <col min="12042" max="12042" width="5.5703125" customWidth="1"/>
    <col min="12043" max="12044" width="5.42578125" customWidth="1"/>
    <col min="12045" max="12045" width="5.5703125" customWidth="1"/>
    <col min="12046" max="12046" width="6.42578125" customWidth="1"/>
    <col min="12047" max="12047" width="5.42578125" customWidth="1"/>
    <col min="12048" max="12048" width="8.42578125" customWidth="1"/>
    <col min="12049" max="12049" width="2.42578125" customWidth="1"/>
    <col min="12050" max="12050" width="8.42578125" customWidth="1"/>
    <col min="12051" max="12051" width="12.42578125" customWidth="1"/>
    <col min="12052" max="12052" width="1.5703125" customWidth="1"/>
    <col min="12053" max="12053" width="7.42578125" customWidth="1"/>
    <col min="12054" max="12054" width="8.42578125" customWidth="1"/>
    <col min="12055" max="12055" width="1.5703125" customWidth="1"/>
    <col min="12056" max="12056" width="15.42578125" customWidth="1"/>
    <col min="12057" max="12057" width="14.42578125" customWidth="1"/>
    <col min="12058" max="12058" width="14.5703125" customWidth="1"/>
    <col min="12059" max="12059" width="1.5703125" customWidth="1"/>
    <col min="12293" max="12293" width="18.42578125" customWidth="1"/>
    <col min="12294" max="12294" width="26.42578125" customWidth="1"/>
    <col min="12295" max="12295" width="10.42578125" bestFit="1" customWidth="1"/>
    <col min="12296" max="12296" width="8.5703125" customWidth="1"/>
    <col min="12297" max="12297" width="6" customWidth="1"/>
    <col min="12298" max="12298" width="5.5703125" customWidth="1"/>
    <col min="12299" max="12300" width="5.42578125" customWidth="1"/>
    <col min="12301" max="12301" width="5.5703125" customWidth="1"/>
    <col min="12302" max="12302" width="6.42578125" customWidth="1"/>
    <col min="12303" max="12303" width="5.42578125" customWidth="1"/>
    <col min="12304" max="12304" width="8.42578125" customWidth="1"/>
    <col min="12305" max="12305" width="2.42578125" customWidth="1"/>
    <col min="12306" max="12306" width="8.42578125" customWidth="1"/>
    <col min="12307" max="12307" width="12.42578125" customWidth="1"/>
    <col min="12308" max="12308" width="1.5703125" customWidth="1"/>
    <col min="12309" max="12309" width="7.42578125" customWidth="1"/>
    <col min="12310" max="12310" width="8.42578125" customWidth="1"/>
    <col min="12311" max="12311" width="1.5703125" customWidth="1"/>
    <col min="12312" max="12312" width="15.42578125" customWidth="1"/>
    <col min="12313" max="12313" width="14.42578125" customWidth="1"/>
    <col min="12314" max="12314" width="14.5703125" customWidth="1"/>
    <col min="12315" max="12315" width="1.5703125" customWidth="1"/>
    <col min="12549" max="12549" width="18.42578125" customWidth="1"/>
    <col min="12550" max="12550" width="26.42578125" customWidth="1"/>
    <col min="12551" max="12551" width="10.42578125" bestFit="1" customWidth="1"/>
    <col min="12552" max="12552" width="8.5703125" customWidth="1"/>
    <col min="12553" max="12553" width="6" customWidth="1"/>
    <col min="12554" max="12554" width="5.5703125" customWidth="1"/>
    <col min="12555" max="12556" width="5.42578125" customWidth="1"/>
    <col min="12557" max="12557" width="5.5703125" customWidth="1"/>
    <col min="12558" max="12558" width="6.42578125" customWidth="1"/>
    <col min="12559" max="12559" width="5.42578125" customWidth="1"/>
    <col min="12560" max="12560" width="8.42578125" customWidth="1"/>
    <col min="12561" max="12561" width="2.42578125" customWidth="1"/>
    <col min="12562" max="12562" width="8.42578125" customWidth="1"/>
    <col min="12563" max="12563" width="12.42578125" customWidth="1"/>
    <col min="12564" max="12564" width="1.5703125" customWidth="1"/>
    <col min="12565" max="12565" width="7.42578125" customWidth="1"/>
    <col min="12566" max="12566" width="8.42578125" customWidth="1"/>
    <col min="12567" max="12567" width="1.5703125" customWidth="1"/>
    <col min="12568" max="12568" width="15.42578125" customWidth="1"/>
    <col min="12569" max="12569" width="14.42578125" customWidth="1"/>
    <col min="12570" max="12570" width="14.5703125" customWidth="1"/>
    <col min="12571" max="12571" width="1.5703125" customWidth="1"/>
    <col min="12805" max="12805" width="18.42578125" customWidth="1"/>
    <col min="12806" max="12806" width="26.42578125" customWidth="1"/>
    <col min="12807" max="12807" width="10.42578125" bestFit="1" customWidth="1"/>
    <col min="12808" max="12808" width="8.5703125" customWidth="1"/>
    <col min="12809" max="12809" width="6" customWidth="1"/>
    <col min="12810" max="12810" width="5.5703125" customWidth="1"/>
    <col min="12811" max="12812" width="5.42578125" customWidth="1"/>
    <col min="12813" max="12813" width="5.5703125" customWidth="1"/>
    <col min="12814" max="12814" width="6.42578125" customWidth="1"/>
    <col min="12815" max="12815" width="5.42578125" customWidth="1"/>
    <col min="12816" max="12816" width="8.42578125" customWidth="1"/>
    <col min="12817" max="12817" width="2.42578125" customWidth="1"/>
    <col min="12818" max="12818" width="8.42578125" customWidth="1"/>
    <col min="12819" max="12819" width="12.42578125" customWidth="1"/>
    <col min="12820" max="12820" width="1.5703125" customWidth="1"/>
    <col min="12821" max="12821" width="7.42578125" customWidth="1"/>
    <col min="12822" max="12822" width="8.42578125" customWidth="1"/>
    <col min="12823" max="12823" width="1.5703125" customWidth="1"/>
    <col min="12824" max="12824" width="15.42578125" customWidth="1"/>
    <col min="12825" max="12825" width="14.42578125" customWidth="1"/>
    <col min="12826" max="12826" width="14.5703125" customWidth="1"/>
    <col min="12827" max="12827" width="1.5703125" customWidth="1"/>
    <col min="13061" max="13061" width="18.42578125" customWidth="1"/>
    <col min="13062" max="13062" width="26.42578125" customWidth="1"/>
    <col min="13063" max="13063" width="10.42578125" bestFit="1" customWidth="1"/>
    <col min="13064" max="13064" width="8.5703125" customWidth="1"/>
    <col min="13065" max="13065" width="6" customWidth="1"/>
    <col min="13066" max="13066" width="5.5703125" customWidth="1"/>
    <col min="13067" max="13068" width="5.42578125" customWidth="1"/>
    <col min="13069" max="13069" width="5.5703125" customWidth="1"/>
    <col min="13070" max="13070" width="6.42578125" customWidth="1"/>
    <col min="13071" max="13071" width="5.42578125" customWidth="1"/>
    <col min="13072" max="13072" width="8.42578125" customWidth="1"/>
    <col min="13073" max="13073" width="2.42578125" customWidth="1"/>
    <col min="13074" max="13074" width="8.42578125" customWidth="1"/>
    <col min="13075" max="13075" width="12.42578125" customWidth="1"/>
    <col min="13076" max="13076" width="1.5703125" customWidth="1"/>
    <col min="13077" max="13077" width="7.42578125" customWidth="1"/>
    <col min="13078" max="13078" width="8.42578125" customWidth="1"/>
    <col min="13079" max="13079" width="1.5703125" customWidth="1"/>
    <col min="13080" max="13080" width="15.42578125" customWidth="1"/>
    <col min="13081" max="13081" width="14.42578125" customWidth="1"/>
    <col min="13082" max="13082" width="14.5703125" customWidth="1"/>
    <col min="13083" max="13083" width="1.5703125" customWidth="1"/>
    <col min="13317" max="13317" width="18.42578125" customWidth="1"/>
    <col min="13318" max="13318" width="26.42578125" customWidth="1"/>
    <col min="13319" max="13319" width="10.42578125" bestFit="1" customWidth="1"/>
    <col min="13320" max="13320" width="8.5703125" customWidth="1"/>
    <col min="13321" max="13321" width="6" customWidth="1"/>
    <col min="13322" max="13322" width="5.5703125" customWidth="1"/>
    <col min="13323" max="13324" width="5.42578125" customWidth="1"/>
    <col min="13325" max="13325" width="5.5703125" customWidth="1"/>
    <col min="13326" max="13326" width="6.42578125" customWidth="1"/>
    <col min="13327" max="13327" width="5.42578125" customWidth="1"/>
    <col min="13328" max="13328" width="8.42578125" customWidth="1"/>
    <col min="13329" max="13329" width="2.42578125" customWidth="1"/>
    <col min="13330" max="13330" width="8.42578125" customWidth="1"/>
    <col min="13331" max="13331" width="12.42578125" customWidth="1"/>
    <col min="13332" max="13332" width="1.5703125" customWidth="1"/>
    <col min="13333" max="13333" width="7.42578125" customWidth="1"/>
    <col min="13334" max="13334" width="8.42578125" customWidth="1"/>
    <col min="13335" max="13335" width="1.5703125" customWidth="1"/>
    <col min="13336" max="13336" width="15.42578125" customWidth="1"/>
    <col min="13337" max="13337" width="14.42578125" customWidth="1"/>
    <col min="13338" max="13338" width="14.5703125" customWidth="1"/>
    <col min="13339" max="13339" width="1.5703125" customWidth="1"/>
    <col min="13573" max="13573" width="18.42578125" customWidth="1"/>
    <col min="13574" max="13574" width="26.42578125" customWidth="1"/>
    <col min="13575" max="13575" width="10.42578125" bestFit="1" customWidth="1"/>
    <col min="13576" max="13576" width="8.5703125" customWidth="1"/>
    <col min="13577" max="13577" width="6" customWidth="1"/>
    <col min="13578" max="13578" width="5.5703125" customWidth="1"/>
    <col min="13579" max="13580" width="5.42578125" customWidth="1"/>
    <col min="13581" max="13581" width="5.5703125" customWidth="1"/>
    <col min="13582" max="13582" width="6.42578125" customWidth="1"/>
    <col min="13583" max="13583" width="5.42578125" customWidth="1"/>
    <col min="13584" max="13584" width="8.42578125" customWidth="1"/>
    <col min="13585" max="13585" width="2.42578125" customWidth="1"/>
    <col min="13586" max="13586" width="8.42578125" customWidth="1"/>
    <col min="13587" max="13587" width="12.42578125" customWidth="1"/>
    <col min="13588" max="13588" width="1.5703125" customWidth="1"/>
    <col min="13589" max="13589" width="7.42578125" customWidth="1"/>
    <col min="13590" max="13590" width="8.42578125" customWidth="1"/>
    <col min="13591" max="13591" width="1.5703125" customWidth="1"/>
    <col min="13592" max="13592" width="15.42578125" customWidth="1"/>
    <col min="13593" max="13593" width="14.42578125" customWidth="1"/>
    <col min="13594" max="13594" width="14.5703125" customWidth="1"/>
    <col min="13595" max="13595" width="1.5703125" customWidth="1"/>
    <col min="13829" max="13829" width="18.42578125" customWidth="1"/>
    <col min="13830" max="13830" width="26.42578125" customWidth="1"/>
    <col min="13831" max="13831" width="10.42578125" bestFit="1" customWidth="1"/>
    <col min="13832" max="13832" width="8.5703125" customWidth="1"/>
    <col min="13833" max="13833" width="6" customWidth="1"/>
    <col min="13834" max="13834" width="5.5703125" customWidth="1"/>
    <col min="13835" max="13836" width="5.42578125" customWidth="1"/>
    <col min="13837" max="13837" width="5.5703125" customWidth="1"/>
    <col min="13838" max="13838" width="6.42578125" customWidth="1"/>
    <col min="13839" max="13839" width="5.42578125" customWidth="1"/>
    <col min="13840" max="13840" width="8.42578125" customWidth="1"/>
    <col min="13841" max="13841" width="2.42578125" customWidth="1"/>
    <col min="13842" max="13842" width="8.42578125" customWidth="1"/>
    <col min="13843" max="13843" width="12.42578125" customWidth="1"/>
    <col min="13844" max="13844" width="1.5703125" customWidth="1"/>
    <col min="13845" max="13845" width="7.42578125" customWidth="1"/>
    <col min="13846" max="13846" width="8.42578125" customWidth="1"/>
    <col min="13847" max="13847" width="1.5703125" customWidth="1"/>
    <col min="13848" max="13848" width="15.42578125" customWidth="1"/>
    <col min="13849" max="13849" width="14.42578125" customWidth="1"/>
    <col min="13850" max="13850" width="14.5703125" customWidth="1"/>
    <col min="13851" max="13851" width="1.5703125" customWidth="1"/>
    <col min="14085" max="14085" width="18.42578125" customWidth="1"/>
    <col min="14086" max="14086" width="26.42578125" customWidth="1"/>
    <col min="14087" max="14087" width="10.42578125" bestFit="1" customWidth="1"/>
    <col min="14088" max="14088" width="8.5703125" customWidth="1"/>
    <col min="14089" max="14089" width="6" customWidth="1"/>
    <col min="14090" max="14090" width="5.5703125" customWidth="1"/>
    <col min="14091" max="14092" width="5.42578125" customWidth="1"/>
    <col min="14093" max="14093" width="5.5703125" customWidth="1"/>
    <col min="14094" max="14094" width="6.42578125" customWidth="1"/>
    <col min="14095" max="14095" width="5.42578125" customWidth="1"/>
    <col min="14096" max="14096" width="8.42578125" customWidth="1"/>
    <col min="14097" max="14097" width="2.42578125" customWidth="1"/>
    <col min="14098" max="14098" width="8.42578125" customWidth="1"/>
    <col min="14099" max="14099" width="12.42578125" customWidth="1"/>
    <col min="14100" max="14100" width="1.5703125" customWidth="1"/>
    <col min="14101" max="14101" width="7.42578125" customWidth="1"/>
    <col min="14102" max="14102" width="8.42578125" customWidth="1"/>
    <col min="14103" max="14103" width="1.5703125" customWidth="1"/>
    <col min="14104" max="14104" width="15.42578125" customWidth="1"/>
    <col min="14105" max="14105" width="14.42578125" customWidth="1"/>
    <col min="14106" max="14106" width="14.5703125" customWidth="1"/>
    <col min="14107" max="14107" width="1.5703125" customWidth="1"/>
    <col min="14341" max="14341" width="18.42578125" customWidth="1"/>
    <col min="14342" max="14342" width="26.42578125" customWidth="1"/>
    <col min="14343" max="14343" width="10.42578125" bestFit="1" customWidth="1"/>
    <col min="14344" max="14344" width="8.5703125" customWidth="1"/>
    <col min="14345" max="14345" width="6" customWidth="1"/>
    <col min="14346" max="14346" width="5.5703125" customWidth="1"/>
    <col min="14347" max="14348" width="5.42578125" customWidth="1"/>
    <col min="14349" max="14349" width="5.5703125" customWidth="1"/>
    <col min="14350" max="14350" width="6.42578125" customWidth="1"/>
    <col min="14351" max="14351" width="5.42578125" customWidth="1"/>
    <col min="14352" max="14352" width="8.42578125" customWidth="1"/>
    <col min="14353" max="14353" width="2.42578125" customWidth="1"/>
    <col min="14354" max="14354" width="8.42578125" customWidth="1"/>
    <col min="14355" max="14355" width="12.42578125" customWidth="1"/>
    <col min="14356" max="14356" width="1.5703125" customWidth="1"/>
    <col min="14357" max="14357" width="7.42578125" customWidth="1"/>
    <col min="14358" max="14358" width="8.42578125" customWidth="1"/>
    <col min="14359" max="14359" width="1.5703125" customWidth="1"/>
    <col min="14360" max="14360" width="15.42578125" customWidth="1"/>
    <col min="14361" max="14361" width="14.42578125" customWidth="1"/>
    <col min="14362" max="14362" width="14.5703125" customWidth="1"/>
    <col min="14363" max="14363" width="1.5703125" customWidth="1"/>
    <col min="14597" max="14597" width="18.42578125" customWidth="1"/>
    <col min="14598" max="14598" width="26.42578125" customWidth="1"/>
    <col min="14599" max="14599" width="10.42578125" bestFit="1" customWidth="1"/>
    <col min="14600" max="14600" width="8.5703125" customWidth="1"/>
    <col min="14601" max="14601" width="6" customWidth="1"/>
    <col min="14602" max="14602" width="5.5703125" customWidth="1"/>
    <col min="14603" max="14604" width="5.42578125" customWidth="1"/>
    <col min="14605" max="14605" width="5.5703125" customWidth="1"/>
    <col min="14606" max="14606" width="6.42578125" customWidth="1"/>
    <col min="14607" max="14607" width="5.42578125" customWidth="1"/>
    <col min="14608" max="14608" width="8.42578125" customWidth="1"/>
    <col min="14609" max="14609" width="2.42578125" customWidth="1"/>
    <col min="14610" max="14610" width="8.42578125" customWidth="1"/>
    <col min="14611" max="14611" width="12.42578125" customWidth="1"/>
    <col min="14612" max="14612" width="1.5703125" customWidth="1"/>
    <col min="14613" max="14613" width="7.42578125" customWidth="1"/>
    <col min="14614" max="14614" width="8.42578125" customWidth="1"/>
    <col min="14615" max="14615" width="1.5703125" customWidth="1"/>
    <col min="14616" max="14616" width="15.42578125" customWidth="1"/>
    <col min="14617" max="14617" width="14.42578125" customWidth="1"/>
    <col min="14618" max="14618" width="14.5703125" customWidth="1"/>
    <col min="14619" max="14619" width="1.5703125" customWidth="1"/>
    <col min="14853" max="14853" width="18.42578125" customWidth="1"/>
    <col min="14854" max="14854" width="26.42578125" customWidth="1"/>
    <col min="14855" max="14855" width="10.42578125" bestFit="1" customWidth="1"/>
    <col min="14856" max="14856" width="8.5703125" customWidth="1"/>
    <col min="14857" max="14857" width="6" customWidth="1"/>
    <col min="14858" max="14858" width="5.5703125" customWidth="1"/>
    <col min="14859" max="14860" width="5.42578125" customWidth="1"/>
    <col min="14861" max="14861" width="5.5703125" customWidth="1"/>
    <col min="14862" max="14862" width="6.42578125" customWidth="1"/>
    <col min="14863" max="14863" width="5.42578125" customWidth="1"/>
    <col min="14864" max="14864" width="8.42578125" customWidth="1"/>
    <col min="14865" max="14865" width="2.42578125" customWidth="1"/>
    <col min="14866" max="14866" width="8.42578125" customWidth="1"/>
    <col min="14867" max="14867" width="12.42578125" customWidth="1"/>
    <col min="14868" max="14868" width="1.5703125" customWidth="1"/>
    <col min="14869" max="14869" width="7.42578125" customWidth="1"/>
    <col min="14870" max="14870" width="8.42578125" customWidth="1"/>
    <col min="14871" max="14871" width="1.5703125" customWidth="1"/>
    <col min="14872" max="14872" width="15.42578125" customWidth="1"/>
    <col min="14873" max="14873" width="14.42578125" customWidth="1"/>
    <col min="14874" max="14874" width="14.5703125" customWidth="1"/>
    <col min="14875" max="14875" width="1.5703125" customWidth="1"/>
    <col min="15109" max="15109" width="18.42578125" customWidth="1"/>
    <col min="15110" max="15110" width="26.42578125" customWidth="1"/>
    <col min="15111" max="15111" width="10.42578125" bestFit="1" customWidth="1"/>
    <col min="15112" max="15112" width="8.5703125" customWidth="1"/>
    <col min="15113" max="15113" width="6" customWidth="1"/>
    <col min="15114" max="15114" width="5.5703125" customWidth="1"/>
    <col min="15115" max="15116" width="5.42578125" customWidth="1"/>
    <col min="15117" max="15117" width="5.5703125" customWidth="1"/>
    <col min="15118" max="15118" width="6.42578125" customWidth="1"/>
    <col min="15119" max="15119" width="5.42578125" customWidth="1"/>
    <col min="15120" max="15120" width="8.42578125" customWidth="1"/>
    <col min="15121" max="15121" width="2.42578125" customWidth="1"/>
    <col min="15122" max="15122" width="8.42578125" customWidth="1"/>
    <col min="15123" max="15123" width="12.42578125" customWidth="1"/>
    <col min="15124" max="15124" width="1.5703125" customWidth="1"/>
    <col min="15125" max="15125" width="7.42578125" customWidth="1"/>
    <col min="15126" max="15126" width="8.42578125" customWidth="1"/>
    <col min="15127" max="15127" width="1.5703125" customWidth="1"/>
    <col min="15128" max="15128" width="15.42578125" customWidth="1"/>
    <col min="15129" max="15129" width="14.42578125" customWidth="1"/>
    <col min="15130" max="15130" width="14.5703125" customWidth="1"/>
    <col min="15131" max="15131" width="1.5703125" customWidth="1"/>
    <col min="15365" max="15365" width="18.42578125" customWidth="1"/>
    <col min="15366" max="15366" width="26.42578125" customWidth="1"/>
    <col min="15367" max="15367" width="10.42578125" bestFit="1" customWidth="1"/>
    <col min="15368" max="15368" width="8.5703125" customWidth="1"/>
    <col min="15369" max="15369" width="6" customWidth="1"/>
    <col min="15370" max="15370" width="5.5703125" customWidth="1"/>
    <col min="15371" max="15372" width="5.42578125" customWidth="1"/>
    <col min="15373" max="15373" width="5.5703125" customWidth="1"/>
    <col min="15374" max="15374" width="6.42578125" customWidth="1"/>
    <col min="15375" max="15375" width="5.42578125" customWidth="1"/>
    <col min="15376" max="15376" width="8.42578125" customWidth="1"/>
    <col min="15377" max="15377" width="2.42578125" customWidth="1"/>
    <col min="15378" max="15378" width="8.42578125" customWidth="1"/>
    <col min="15379" max="15379" width="12.42578125" customWidth="1"/>
    <col min="15380" max="15380" width="1.5703125" customWidth="1"/>
    <col min="15381" max="15381" width="7.42578125" customWidth="1"/>
    <col min="15382" max="15382" width="8.42578125" customWidth="1"/>
    <col min="15383" max="15383" width="1.5703125" customWidth="1"/>
    <col min="15384" max="15384" width="15.42578125" customWidth="1"/>
    <col min="15385" max="15385" width="14.42578125" customWidth="1"/>
    <col min="15386" max="15386" width="14.5703125" customWidth="1"/>
    <col min="15387" max="15387" width="1.5703125" customWidth="1"/>
    <col min="15621" max="15621" width="18.42578125" customWidth="1"/>
    <col min="15622" max="15622" width="26.42578125" customWidth="1"/>
    <col min="15623" max="15623" width="10.42578125" bestFit="1" customWidth="1"/>
    <col min="15624" max="15624" width="8.5703125" customWidth="1"/>
    <col min="15625" max="15625" width="6" customWidth="1"/>
    <col min="15626" max="15626" width="5.5703125" customWidth="1"/>
    <col min="15627" max="15628" width="5.42578125" customWidth="1"/>
    <col min="15629" max="15629" width="5.5703125" customWidth="1"/>
    <col min="15630" max="15630" width="6.42578125" customWidth="1"/>
    <col min="15631" max="15631" width="5.42578125" customWidth="1"/>
    <col min="15632" max="15632" width="8.42578125" customWidth="1"/>
    <col min="15633" max="15633" width="2.42578125" customWidth="1"/>
    <col min="15634" max="15634" width="8.42578125" customWidth="1"/>
    <col min="15635" max="15635" width="12.42578125" customWidth="1"/>
    <col min="15636" max="15636" width="1.5703125" customWidth="1"/>
    <col min="15637" max="15637" width="7.42578125" customWidth="1"/>
    <col min="15638" max="15638" width="8.42578125" customWidth="1"/>
    <col min="15639" max="15639" width="1.5703125" customWidth="1"/>
    <col min="15640" max="15640" width="15.42578125" customWidth="1"/>
    <col min="15641" max="15641" width="14.42578125" customWidth="1"/>
    <col min="15642" max="15642" width="14.5703125" customWidth="1"/>
    <col min="15643" max="15643" width="1.5703125" customWidth="1"/>
    <col min="15877" max="15877" width="18.42578125" customWidth="1"/>
    <col min="15878" max="15878" width="26.42578125" customWidth="1"/>
    <col min="15879" max="15879" width="10.42578125" bestFit="1" customWidth="1"/>
    <col min="15880" max="15880" width="8.5703125" customWidth="1"/>
    <col min="15881" max="15881" width="6" customWidth="1"/>
    <col min="15882" max="15882" width="5.5703125" customWidth="1"/>
    <col min="15883" max="15884" width="5.42578125" customWidth="1"/>
    <col min="15885" max="15885" width="5.5703125" customWidth="1"/>
    <col min="15886" max="15886" width="6.42578125" customWidth="1"/>
    <col min="15887" max="15887" width="5.42578125" customWidth="1"/>
    <col min="15888" max="15888" width="8.42578125" customWidth="1"/>
    <col min="15889" max="15889" width="2.42578125" customWidth="1"/>
    <col min="15890" max="15890" width="8.42578125" customWidth="1"/>
    <col min="15891" max="15891" width="12.42578125" customWidth="1"/>
    <col min="15892" max="15892" width="1.5703125" customWidth="1"/>
    <col min="15893" max="15893" width="7.42578125" customWidth="1"/>
    <col min="15894" max="15894" width="8.42578125" customWidth="1"/>
    <col min="15895" max="15895" width="1.5703125" customWidth="1"/>
    <col min="15896" max="15896" width="15.42578125" customWidth="1"/>
    <col min="15897" max="15897" width="14.42578125" customWidth="1"/>
    <col min="15898" max="15898" width="14.5703125" customWidth="1"/>
    <col min="15899" max="15899" width="1.5703125" customWidth="1"/>
    <col min="16133" max="16133" width="18.42578125" customWidth="1"/>
    <col min="16134" max="16134" width="26.42578125" customWidth="1"/>
    <col min="16135" max="16135" width="10.42578125" bestFit="1" customWidth="1"/>
    <col min="16136" max="16136" width="8.5703125" customWidth="1"/>
    <col min="16137" max="16137" width="6" customWidth="1"/>
    <col min="16138" max="16138" width="5.5703125" customWidth="1"/>
    <col min="16139" max="16140" width="5.42578125" customWidth="1"/>
    <col min="16141" max="16141" width="5.5703125" customWidth="1"/>
    <col min="16142" max="16142" width="6.42578125" customWidth="1"/>
    <col min="16143" max="16143" width="5.42578125" customWidth="1"/>
    <col min="16144" max="16144" width="8.42578125" customWidth="1"/>
    <col min="16145" max="16145" width="2.42578125" customWidth="1"/>
    <col min="16146" max="16146" width="8.42578125" customWidth="1"/>
    <col min="16147" max="16147" width="12.42578125" customWidth="1"/>
    <col min="16148" max="16148" width="1.5703125" customWidth="1"/>
    <col min="16149" max="16149" width="7.42578125" customWidth="1"/>
    <col min="16150" max="16150" width="8.42578125" customWidth="1"/>
    <col min="16151" max="16151" width="1.5703125" customWidth="1"/>
    <col min="16152" max="16152" width="15.42578125" customWidth="1"/>
    <col min="16153" max="16153" width="14.42578125" customWidth="1"/>
    <col min="16154" max="16154" width="14.5703125" customWidth="1"/>
    <col min="16155" max="16155" width="1.5703125" customWidth="1"/>
  </cols>
  <sheetData>
    <row r="1" spans="2:32" s="1" customFormat="1" ht="25.5" customHeight="1" thickBot="1" x14ac:dyDescent="0.35">
      <c r="B1" s="7"/>
      <c r="C1" s="8"/>
      <c r="D1" s="9"/>
      <c r="O1" s="19"/>
      <c r="P1" s="5"/>
      <c r="Q1" s="5"/>
      <c r="R1" s="5"/>
      <c r="S1" s="30"/>
      <c r="T1" s="180" t="s">
        <v>0</v>
      </c>
      <c r="U1" s="180"/>
      <c r="V1" s="5"/>
      <c r="W1" s="5"/>
      <c r="X1" s="5"/>
      <c r="Y1" s="5"/>
      <c r="Z1" s="5"/>
      <c r="AB1" s="5"/>
      <c r="AF1" s="43"/>
    </row>
    <row r="2" spans="2:32" ht="15" customHeight="1" x14ac:dyDescent="0.25">
      <c r="B2" s="181" t="s">
        <v>1</v>
      </c>
      <c r="C2" s="184" t="s">
        <v>2</v>
      </c>
      <c r="D2" s="187" t="s">
        <v>3</v>
      </c>
      <c r="E2" s="190" t="s">
        <v>4</v>
      </c>
      <c r="F2" s="193" t="s">
        <v>5</v>
      </c>
      <c r="G2" s="193" t="s">
        <v>68</v>
      </c>
      <c r="H2" s="193" t="s">
        <v>7</v>
      </c>
      <c r="I2" s="193" t="s">
        <v>8</v>
      </c>
      <c r="J2" s="193" t="s">
        <v>9</v>
      </c>
      <c r="K2" s="197" t="s">
        <v>10</v>
      </c>
      <c r="L2" s="197" t="s">
        <v>11</v>
      </c>
      <c r="M2" s="200" t="s">
        <v>12</v>
      </c>
      <c r="N2" s="197" t="s">
        <v>69</v>
      </c>
      <c r="O2" s="197" t="s">
        <v>70</v>
      </c>
      <c r="P2" s="203" t="s">
        <v>15</v>
      </c>
      <c r="Q2" s="203" t="s">
        <v>16</v>
      </c>
      <c r="R2" s="10"/>
      <c r="S2" s="206" t="s">
        <v>17</v>
      </c>
      <c r="T2" s="209" t="s">
        <v>18</v>
      </c>
      <c r="U2" s="212" t="s">
        <v>19</v>
      </c>
      <c r="V2" s="215" t="s">
        <v>20</v>
      </c>
      <c r="W2" s="184" t="s">
        <v>21</v>
      </c>
      <c r="X2" s="184" t="s">
        <v>22</v>
      </c>
      <c r="Y2" s="184" t="s">
        <v>23</v>
      </c>
      <c r="Z2" s="184" t="s">
        <v>24</v>
      </c>
      <c r="AB2" s="10"/>
      <c r="AC2" s="184" t="s">
        <v>25</v>
      </c>
      <c r="AD2" s="40" t="s">
        <v>26</v>
      </c>
    </row>
    <row r="3" spans="2:32" x14ac:dyDescent="0.25">
      <c r="B3" s="182"/>
      <c r="C3" s="185"/>
      <c r="D3" s="188"/>
      <c r="E3" s="191"/>
      <c r="F3" s="194"/>
      <c r="G3" s="194"/>
      <c r="H3" s="194"/>
      <c r="I3" s="194"/>
      <c r="J3" s="194"/>
      <c r="K3" s="198"/>
      <c r="L3" s="198"/>
      <c r="M3" s="201"/>
      <c r="N3" s="198"/>
      <c r="O3" s="198"/>
      <c r="P3" s="204"/>
      <c r="Q3" s="204"/>
      <c r="R3" s="10"/>
      <c r="S3" s="207"/>
      <c r="T3" s="210"/>
      <c r="U3" s="213"/>
      <c r="V3" s="216"/>
      <c r="W3" s="185"/>
      <c r="X3" s="185"/>
      <c r="Y3" s="185"/>
      <c r="Z3" s="185"/>
      <c r="AB3" s="10"/>
      <c r="AC3" s="185"/>
      <c r="AD3" s="196">
        <v>929.9</v>
      </c>
    </row>
    <row r="4" spans="2:32" ht="14.85" customHeight="1" x14ac:dyDescent="0.25">
      <c r="B4" s="182"/>
      <c r="C4" s="185"/>
      <c r="D4" s="188"/>
      <c r="E4" s="191"/>
      <c r="F4" s="194"/>
      <c r="G4" s="194"/>
      <c r="H4" s="194"/>
      <c r="I4" s="194"/>
      <c r="J4" s="194"/>
      <c r="K4" s="198"/>
      <c r="L4" s="198"/>
      <c r="M4" s="201"/>
      <c r="N4" s="198"/>
      <c r="O4" s="198"/>
      <c r="P4" s="204"/>
      <c r="Q4" s="204"/>
      <c r="R4" s="10"/>
      <c r="S4" s="207"/>
      <c r="T4" s="210"/>
      <c r="U4" s="213"/>
      <c r="V4" s="216"/>
      <c r="W4" s="185"/>
      <c r="X4" s="185"/>
      <c r="Y4" s="185"/>
      <c r="Z4" s="185"/>
      <c r="AB4" s="10"/>
      <c r="AC4" s="185"/>
      <c r="AD4" s="196"/>
    </row>
    <row r="5" spans="2:32" s="1" customFormat="1" ht="27.75" customHeight="1" thickBot="1" x14ac:dyDescent="0.3">
      <c r="B5" s="183"/>
      <c r="C5" s="186"/>
      <c r="D5" s="189"/>
      <c r="E5" s="192"/>
      <c r="F5" s="195"/>
      <c r="G5" s="195"/>
      <c r="H5" s="195"/>
      <c r="I5" s="195"/>
      <c r="J5" s="195"/>
      <c r="K5" s="199"/>
      <c r="L5" s="199"/>
      <c r="M5" s="202"/>
      <c r="N5" s="199"/>
      <c r="O5" s="199"/>
      <c r="P5" s="205"/>
      <c r="Q5" s="205"/>
      <c r="R5" s="10"/>
      <c r="S5" s="208"/>
      <c r="T5" s="211"/>
      <c r="U5" s="214"/>
      <c r="V5" s="217"/>
      <c r="W5" s="186"/>
      <c r="X5" s="186"/>
      <c r="Y5" s="186"/>
      <c r="Z5" s="186"/>
      <c r="AB5" s="10"/>
      <c r="AC5" s="186"/>
      <c r="AD5" s="196"/>
      <c r="AF5" s="43"/>
    </row>
    <row r="6" spans="2:32" s="1" customFormat="1" x14ac:dyDescent="0.25">
      <c r="B6" s="7"/>
      <c r="C6" s="77"/>
      <c r="D6" s="77"/>
      <c r="E6" s="72"/>
      <c r="F6" s="72"/>
      <c r="G6" s="72"/>
      <c r="H6" s="72"/>
      <c r="I6" s="72"/>
      <c r="J6" s="72"/>
      <c r="K6" s="73"/>
      <c r="L6" s="73"/>
      <c r="M6" s="74"/>
      <c r="N6" s="73"/>
      <c r="O6" s="73"/>
      <c r="P6" s="14"/>
      <c r="Q6" s="14"/>
      <c r="R6" s="14"/>
      <c r="S6" s="75"/>
      <c r="T6" s="88"/>
      <c r="U6" s="14"/>
      <c r="V6" s="107"/>
      <c r="W6" s="14"/>
      <c r="X6" s="14"/>
      <c r="Y6" s="14"/>
      <c r="Z6" s="14"/>
      <c r="AB6" s="14"/>
      <c r="AC6" s="14"/>
      <c r="AD6" s="76"/>
      <c r="AF6" s="43"/>
    </row>
    <row r="7" spans="2:32" s="1" customFormat="1" ht="15.6" customHeight="1" x14ac:dyDescent="0.25"/>
    <row r="8" spans="2:32" s="1" customFormat="1" ht="15.75" thickBot="1" x14ac:dyDescent="0.3">
      <c r="B8" s="110" t="s">
        <v>122</v>
      </c>
      <c r="D8" s="2"/>
      <c r="O8" s="19"/>
      <c r="S8" s="31"/>
      <c r="T8" s="2"/>
      <c r="Z8" s="2"/>
      <c r="AF8" s="43"/>
    </row>
    <row r="9" spans="2:32" s="1" customFormat="1" x14ac:dyDescent="0.25">
      <c r="B9" s="181" t="s">
        <v>111</v>
      </c>
      <c r="C9" s="184" t="s">
        <v>2</v>
      </c>
      <c r="D9" s="187" t="s">
        <v>72</v>
      </c>
      <c r="E9" s="246" t="s">
        <v>118</v>
      </c>
      <c r="F9" s="193" t="s">
        <v>5</v>
      </c>
      <c r="G9" s="193" t="s">
        <v>119</v>
      </c>
      <c r="H9" s="193" t="s">
        <v>7</v>
      </c>
      <c r="I9" s="193" t="s">
        <v>120</v>
      </c>
      <c r="J9" s="193" t="s">
        <v>9</v>
      </c>
      <c r="K9" s="197" t="s">
        <v>10</v>
      </c>
      <c r="L9" s="197" t="s">
        <v>11</v>
      </c>
      <c r="M9" s="197" t="s">
        <v>123</v>
      </c>
      <c r="N9" s="197" t="s">
        <v>69</v>
      </c>
      <c r="O9" s="197" t="s">
        <v>121</v>
      </c>
      <c r="P9" s="203" t="s">
        <v>79</v>
      </c>
      <c r="Q9" s="70"/>
      <c r="R9" s="69"/>
      <c r="S9" s="252" t="s">
        <v>80</v>
      </c>
      <c r="T9" s="255" t="s">
        <v>124</v>
      </c>
      <c r="U9" s="258" t="s">
        <v>125</v>
      </c>
      <c r="V9" s="258" t="s">
        <v>126</v>
      </c>
      <c r="W9" s="249" t="s">
        <v>82</v>
      </c>
      <c r="X9" s="78"/>
      <c r="Y9" s="78"/>
      <c r="Z9" s="249" t="s">
        <v>83</v>
      </c>
      <c r="AB9" s="14"/>
      <c r="AC9" s="184" t="s">
        <v>25</v>
      </c>
      <c r="AF9" s="43"/>
    </row>
    <row r="10" spans="2:32" s="1" customFormat="1" x14ac:dyDescent="0.25">
      <c r="B10" s="182"/>
      <c r="C10" s="185"/>
      <c r="D10" s="188"/>
      <c r="E10" s="247"/>
      <c r="F10" s="194"/>
      <c r="G10" s="194"/>
      <c r="H10" s="194"/>
      <c r="I10" s="194"/>
      <c r="J10" s="194"/>
      <c r="K10" s="198"/>
      <c r="L10" s="198"/>
      <c r="M10" s="198"/>
      <c r="N10" s="198"/>
      <c r="O10" s="198"/>
      <c r="P10" s="204"/>
      <c r="Q10" s="70"/>
      <c r="R10" s="69"/>
      <c r="S10" s="253"/>
      <c r="T10" s="256"/>
      <c r="U10" s="259"/>
      <c r="V10" s="259"/>
      <c r="W10" s="250"/>
      <c r="X10" s="79"/>
      <c r="Y10" s="79"/>
      <c r="Z10" s="250"/>
      <c r="AB10" s="14"/>
      <c r="AC10" s="185"/>
      <c r="AF10" s="43"/>
    </row>
    <row r="11" spans="2:32" s="1" customFormat="1" x14ac:dyDescent="0.25">
      <c r="B11" s="182"/>
      <c r="C11" s="185"/>
      <c r="D11" s="188"/>
      <c r="E11" s="247"/>
      <c r="F11" s="194"/>
      <c r="G11" s="194"/>
      <c r="H11" s="194"/>
      <c r="I11" s="194"/>
      <c r="J11" s="194"/>
      <c r="K11" s="198"/>
      <c r="L11" s="198"/>
      <c r="M11" s="198"/>
      <c r="N11" s="198"/>
      <c r="O11" s="198"/>
      <c r="P11" s="204"/>
      <c r="Q11" s="14"/>
      <c r="R11" s="69"/>
      <c r="S11" s="253"/>
      <c r="T11" s="256"/>
      <c r="U11" s="259"/>
      <c r="V11" s="259"/>
      <c r="W11" s="250"/>
      <c r="X11" s="79"/>
      <c r="Y11" s="79"/>
      <c r="Z11" s="250"/>
      <c r="AB11" s="14"/>
      <c r="AC11" s="185"/>
      <c r="AF11" s="43"/>
    </row>
    <row r="12" spans="2:32" s="1" customFormat="1" ht="15.75" thickBot="1" x14ac:dyDescent="0.3">
      <c r="B12" s="183"/>
      <c r="C12" s="186"/>
      <c r="D12" s="189"/>
      <c r="E12" s="248"/>
      <c r="F12" s="195"/>
      <c r="G12" s="195"/>
      <c r="H12" s="195"/>
      <c r="I12" s="195"/>
      <c r="J12" s="195"/>
      <c r="K12" s="199"/>
      <c r="L12" s="199"/>
      <c r="M12" s="199"/>
      <c r="N12" s="199"/>
      <c r="O12" s="199"/>
      <c r="P12" s="205"/>
      <c r="Q12" s="70"/>
      <c r="R12" s="69"/>
      <c r="S12" s="254"/>
      <c r="T12" s="257"/>
      <c r="U12" s="260"/>
      <c r="V12" s="260"/>
      <c r="W12" s="251"/>
      <c r="X12" s="80"/>
      <c r="Y12" s="80"/>
      <c r="Z12" s="251"/>
      <c r="AB12" s="14"/>
      <c r="AC12" s="186"/>
      <c r="AF12" s="43"/>
    </row>
    <row r="13" spans="2:32" s="1" customFormat="1" ht="15.75" thickBot="1" x14ac:dyDescent="0.3">
      <c r="B13" s="115" t="s">
        <v>114</v>
      </c>
      <c r="C13" s="116"/>
      <c r="D13" s="117">
        <v>54021</v>
      </c>
      <c r="E13" s="143">
        <v>0</v>
      </c>
      <c r="F13" s="143">
        <v>1800</v>
      </c>
      <c r="G13" s="143">
        <v>0</v>
      </c>
      <c r="H13" s="143">
        <v>225</v>
      </c>
      <c r="I13" s="143"/>
      <c r="J13" s="143"/>
      <c r="K13" s="143">
        <v>600</v>
      </c>
      <c r="L13" s="143"/>
      <c r="M13" s="144"/>
      <c r="N13" s="145">
        <v>56417</v>
      </c>
      <c r="O13" s="145"/>
      <c r="P13" s="146">
        <f t="shared" ref="P13:P15" si="0">SUM(D13:O13)</f>
        <v>113063</v>
      </c>
      <c r="Q13" s="122">
        <f>P13*$AD$3</f>
        <v>105137283.7</v>
      </c>
      <c r="R13" s="67"/>
      <c r="S13" s="36">
        <v>8.8135431270722625E-2</v>
      </c>
      <c r="T13" s="86">
        <f t="shared" ref="T13" si="1">(Q13/(1-S13))</f>
        <v>115299231.16380468</v>
      </c>
      <c r="U13" s="41">
        <f t="shared" ref="U13:V13" si="2">T13/$AD$3</f>
        <v>123991.00028369145</v>
      </c>
      <c r="V13" s="41">
        <f t="shared" si="2"/>
        <v>133.33799363769378</v>
      </c>
      <c r="W13" s="36"/>
      <c r="X13" s="36"/>
      <c r="Y13" s="36"/>
      <c r="Z13" s="134">
        <f>U13-P13</f>
        <v>10928.00028369145</v>
      </c>
      <c r="AB13" s="12"/>
      <c r="AC13" s="45"/>
      <c r="AD13" s="16"/>
      <c r="AF13" s="43"/>
    </row>
    <row r="14" spans="2:32" s="1" customFormat="1" x14ac:dyDescent="0.25">
      <c r="B14" s="147" t="s">
        <v>116</v>
      </c>
      <c r="C14" s="148"/>
      <c r="D14" s="149">
        <v>81204</v>
      </c>
      <c r="E14" s="150">
        <v>0</v>
      </c>
      <c r="F14" s="150">
        <v>2000</v>
      </c>
      <c r="G14" s="150">
        <v>0</v>
      </c>
      <c r="H14" s="150">
        <v>500</v>
      </c>
      <c r="I14" s="150"/>
      <c r="J14" s="150"/>
      <c r="K14" s="150"/>
      <c r="L14" s="150">
        <v>7000</v>
      </c>
      <c r="M14" s="151"/>
      <c r="N14" s="152"/>
      <c r="O14" s="152">
        <v>3600</v>
      </c>
      <c r="P14" s="153">
        <f t="shared" si="0"/>
        <v>94304</v>
      </c>
      <c r="Q14" s="154"/>
      <c r="R14" s="11"/>
      <c r="S14" s="64">
        <v>0.21413333239785423</v>
      </c>
      <c r="T14" s="61">
        <f t="shared" ref="T14:T15" si="3">(P14/(1-S14))</f>
        <v>119999.99985715453</v>
      </c>
      <c r="U14" s="48">
        <f>T14*$AD$3</f>
        <v>111587999.86716799</v>
      </c>
      <c r="V14" s="48">
        <f>U14*$AD$3</f>
        <v>103765681076.47952</v>
      </c>
      <c r="W14" s="65">
        <v>0.12</v>
      </c>
      <c r="X14" s="65"/>
      <c r="Y14" s="65"/>
      <c r="Z14" s="66">
        <f>(P14/(1-W14))</f>
        <v>107163.63636363637</v>
      </c>
      <c r="AB14" s="12"/>
      <c r="AC14" s="17"/>
      <c r="AD14" s="16"/>
      <c r="AE14" s="1" t="s">
        <v>112</v>
      </c>
      <c r="AF14" s="43">
        <v>88920.731707317071</v>
      </c>
    </row>
    <row r="15" spans="2:32" s="1" customFormat="1" ht="15.75" thickBot="1" x14ac:dyDescent="0.3">
      <c r="B15" s="155" t="s">
        <v>117</v>
      </c>
      <c r="C15" s="156"/>
      <c r="D15" s="157">
        <v>92400</v>
      </c>
      <c r="E15" s="158">
        <v>0</v>
      </c>
      <c r="F15" s="158">
        <v>2000</v>
      </c>
      <c r="G15" s="158">
        <v>0</v>
      </c>
      <c r="H15" s="158">
        <v>500</v>
      </c>
      <c r="I15" s="158"/>
      <c r="J15" s="158"/>
      <c r="K15" s="158"/>
      <c r="L15" s="158"/>
      <c r="M15" s="159"/>
      <c r="N15" s="160"/>
      <c r="O15" s="160">
        <v>3600</v>
      </c>
      <c r="P15" s="161">
        <f t="shared" si="0"/>
        <v>98500</v>
      </c>
      <c r="Q15" s="154"/>
      <c r="R15" s="11"/>
      <c r="S15" s="33">
        <v>0.19</v>
      </c>
      <c r="T15" s="84">
        <f t="shared" si="3"/>
        <v>121604.93827160493</v>
      </c>
      <c r="U15" s="41">
        <f>T15*$AD$3</f>
        <v>113080432.09876542</v>
      </c>
      <c r="V15" s="41">
        <f>U15*$AD$3</f>
        <v>105153493808.64195</v>
      </c>
      <c r="W15" s="13">
        <v>0.12</v>
      </c>
      <c r="X15" s="13"/>
      <c r="Y15" s="13"/>
      <c r="Z15" s="35">
        <f>(P15/(1-W15))</f>
        <v>111931.81818181818</v>
      </c>
      <c r="AB15" s="12"/>
      <c r="AC15" s="17"/>
      <c r="AD15" s="16"/>
      <c r="AE15" s="1" t="s">
        <v>113</v>
      </c>
      <c r="AF15" s="43">
        <v>105340.24390243902</v>
      </c>
    </row>
    <row r="16" spans="2:32" s="1" customFormat="1" ht="15.75" thickBot="1" x14ac:dyDescent="0.3">
      <c r="B16" s="162" t="s">
        <v>127</v>
      </c>
      <c r="C16" s="163"/>
      <c r="D16" s="164">
        <v>50474</v>
      </c>
      <c r="E16" s="104">
        <v>150</v>
      </c>
      <c r="F16" s="104">
        <v>2500</v>
      </c>
      <c r="G16" s="104">
        <v>100</v>
      </c>
      <c r="H16" s="104">
        <v>500</v>
      </c>
      <c r="I16" s="104">
        <v>1800</v>
      </c>
      <c r="J16" s="104"/>
      <c r="K16" s="104"/>
      <c r="L16" s="104"/>
      <c r="M16" s="104">
        <f>1600000/950+400000/950</f>
        <v>2105.2631578947367</v>
      </c>
      <c r="N16" s="106">
        <v>62000</v>
      </c>
      <c r="O16" s="106"/>
      <c r="P16" s="135">
        <f>SUM(D16:O16)</f>
        <v>119629.26315789473</v>
      </c>
      <c r="Q16" s="50">
        <f>P16*$AD$3</f>
        <v>111243251.81052631</v>
      </c>
      <c r="R16" s="82"/>
      <c r="S16" s="36">
        <v>0.12551708266199471</v>
      </c>
      <c r="T16" s="86">
        <f t="shared" ref="T16" si="4">(Q16/(1-S16))</f>
        <v>127210320.07024163</v>
      </c>
      <c r="U16" s="86">
        <f>T16/$AD$3</f>
        <v>136800.00007553675</v>
      </c>
      <c r="V16" s="86">
        <f>U16/$AD$3</f>
        <v>147.11259283313987</v>
      </c>
      <c r="W16" s="89">
        <f>U16-P16</f>
        <v>17170.736917642018</v>
      </c>
      <c r="X16" s="36"/>
      <c r="Y16" s="36"/>
      <c r="Z16" s="41">
        <f>U16-P16</f>
        <v>17170.736917642018</v>
      </c>
      <c r="AB16" s="12"/>
      <c r="AC16" s="18" t="s">
        <v>115</v>
      </c>
      <c r="AD16" s="2">
        <f>+Z16-P16</f>
        <v>-102458.52624025272</v>
      </c>
      <c r="AF16" s="43"/>
    </row>
    <row r="17" spans="2:32" s="1" customFormat="1" ht="15.75" thickBot="1" x14ac:dyDescent="0.3">
      <c r="B17" s="162" t="s">
        <v>128</v>
      </c>
      <c r="C17" s="163"/>
      <c r="D17" s="164"/>
      <c r="E17" s="104"/>
      <c r="F17" s="104"/>
      <c r="G17" s="104"/>
      <c r="H17" s="104"/>
      <c r="I17" s="104"/>
      <c r="J17" s="104"/>
      <c r="K17" s="104"/>
      <c r="L17" s="104"/>
      <c r="M17" s="104">
        <f>1600000/950+400000/950</f>
        <v>2105.2631578947367</v>
      </c>
      <c r="N17" s="106"/>
      <c r="O17" s="106"/>
      <c r="P17" s="135"/>
      <c r="Q17" s="50"/>
      <c r="R17" s="81"/>
      <c r="S17" s="36"/>
      <c r="T17" s="86"/>
      <c r="U17" s="86"/>
      <c r="V17" s="86"/>
      <c r="W17" s="89"/>
      <c r="X17" s="36"/>
      <c r="Y17" s="36"/>
      <c r="Z17" s="41"/>
      <c r="AB17" s="12"/>
      <c r="AC17" s="18"/>
      <c r="AD17" s="2"/>
      <c r="AF17" s="43"/>
    </row>
    <row r="18" spans="2:32" s="1" customFormat="1" ht="15.75" thickBot="1" x14ac:dyDescent="0.3">
      <c r="B18" s="162" t="s">
        <v>129</v>
      </c>
      <c r="C18" s="163"/>
      <c r="D18" s="164">
        <v>43452</v>
      </c>
      <c r="E18" s="104">
        <v>150</v>
      </c>
      <c r="F18" s="104">
        <v>2500</v>
      </c>
      <c r="G18" s="104">
        <v>100</v>
      </c>
      <c r="H18" s="104">
        <v>500</v>
      </c>
      <c r="I18" s="104"/>
      <c r="J18" s="104"/>
      <c r="K18" s="104"/>
      <c r="L18" s="104"/>
      <c r="M18" s="104"/>
      <c r="N18" s="106"/>
      <c r="O18" s="106"/>
      <c r="P18" s="135">
        <f>SUM(D18:O18)</f>
        <v>46702</v>
      </c>
      <c r="Q18" s="50">
        <f>P18*$AD$3</f>
        <v>43428189.799999997</v>
      </c>
      <c r="R18" s="81"/>
      <c r="S18" s="36">
        <v>0.10069097805148</v>
      </c>
      <c r="T18" s="86">
        <f>(P18/(1-S18))</f>
        <v>51930.981298076433</v>
      </c>
      <c r="U18" s="86">
        <v>53500</v>
      </c>
      <c r="V18" s="86">
        <v>53500</v>
      </c>
      <c r="W18" s="36"/>
      <c r="X18" s="36"/>
      <c r="Y18" s="36"/>
      <c r="Z18" s="41"/>
      <c r="AB18" s="12"/>
      <c r="AC18" s="18"/>
      <c r="AD18" s="2"/>
      <c r="AF18" s="43"/>
    </row>
    <row r="19" spans="2:32" s="1" customFormat="1" x14ac:dyDescent="0.25">
      <c r="O19" s="19"/>
      <c r="S19" s="31"/>
      <c r="AF19" s="43"/>
    </row>
    <row r="20" spans="2:32" s="1" customFormat="1" x14ac:dyDescent="0.25">
      <c r="O20" s="19"/>
      <c r="S20" s="31"/>
      <c r="AF20" s="43"/>
    </row>
    <row r="21" spans="2:32" s="1" customFormat="1" x14ac:dyDescent="0.25">
      <c r="O21" s="19"/>
      <c r="S21" s="31"/>
      <c r="AF21" s="43"/>
    </row>
    <row r="22" spans="2:32" s="1" customFormat="1" x14ac:dyDescent="0.25">
      <c r="O22" s="19"/>
      <c r="S22" s="31"/>
      <c r="AF22" s="43"/>
    </row>
    <row r="23" spans="2:32" s="1" customFormat="1" x14ac:dyDescent="0.25">
      <c r="O23" s="19"/>
      <c r="S23" s="31"/>
      <c r="AF23" s="43"/>
    </row>
    <row r="24" spans="2:32" s="1" customFormat="1" x14ac:dyDescent="0.25">
      <c r="B24" s="125"/>
      <c r="C24" s="126"/>
      <c r="D24" s="127"/>
      <c r="E24" s="12"/>
      <c r="F24" s="12"/>
      <c r="G24" s="12"/>
      <c r="H24" s="12"/>
      <c r="I24" s="12"/>
      <c r="J24" s="12"/>
      <c r="K24" s="12"/>
      <c r="L24" s="12"/>
      <c r="M24" s="12"/>
      <c r="N24" s="123"/>
      <c r="O24" s="123"/>
      <c r="P24" s="15"/>
      <c r="Q24" s="124"/>
      <c r="R24" s="112"/>
      <c r="S24" s="128"/>
      <c r="T24" s="129"/>
      <c r="U24" s="129"/>
      <c r="V24" s="12"/>
      <c r="W24" s="128"/>
      <c r="X24" s="128"/>
      <c r="Y24" s="128"/>
      <c r="Z24" s="124"/>
      <c r="AB24" s="12"/>
      <c r="AC24" s="133"/>
      <c r="AD24" s="2"/>
      <c r="AF24" s="43"/>
    </row>
    <row r="25" spans="2:32" s="1" customFormat="1" x14ac:dyDescent="0.25">
      <c r="B25" s="125"/>
      <c r="C25" s="126"/>
      <c r="D25" s="127"/>
      <c r="E25" s="12"/>
      <c r="F25" s="12"/>
      <c r="G25" s="12"/>
      <c r="H25" s="12"/>
      <c r="I25" s="12"/>
      <c r="J25" s="12"/>
      <c r="K25" s="12"/>
      <c r="L25" s="12"/>
      <c r="M25" s="12"/>
      <c r="N25" s="123"/>
      <c r="O25" s="123"/>
      <c r="P25" s="15"/>
      <c r="Q25" s="124"/>
      <c r="R25" s="112"/>
      <c r="S25" s="128"/>
      <c r="T25" s="129"/>
      <c r="U25" s="129"/>
      <c r="V25" s="12"/>
      <c r="W25" s="128"/>
      <c r="X25" s="128"/>
      <c r="Y25" s="128"/>
      <c r="Z25" s="124"/>
      <c r="AB25" s="12"/>
      <c r="AC25" s="133"/>
      <c r="AD25" s="2"/>
      <c r="AF25" s="43"/>
    </row>
    <row r="26" spans="2:32" s="1" customFormat="1" x14ac:dyDescent="0.25">
      <c r="B26" s="125"/>
      <c r="C26" s="126"/>
      <c r="D26" s="127"/>
      <c r="E26" s="12"/>
      <c r="F26" s="12"/>
      <c r="G26" s="12"/>
      <c r="H26" s="12"/>
      <c r="I26" s="12"/>
      <c r="J26" s="12"/>
      <c r="K26" s="12"/>
      <c r="L26" s="12"/>
      <c r="M26" s="12"/>
      <c r="N26" s="123"/>
      <c r="O26" s="123"/>
      <c r="P26" s="15"/>
      <c r="Q26" s="124"/>
      <c r="R26" s="112"/>
      <c r="S26" s="128"/>
      <c r="T26" s="129"/>
      <c r="U26" s="129"/>
      <c r="V26" s="12"/>
      <c r="W26" s="128"/>
      <c r="X26" s="128"/>
      <c r="Y26" s="128"/>
      <c r="Z26" s="124"/>
      <c r="AB26" s="12"/>
      <c r="AC26" s="133"/>
      <c r="AD26" s="2"/>
      <c r="AF26" s="43"/>
    </row>
    <row r="27" spans="2:32" s="1" customFormat="1" x14ac:dyDescent="0.25">
      <c r="B27" s="125"/>
      <c r="C27" s="126"/>
      <c r="D27" s="127"/>
      <c r="E27" s="12"/>
      <c r="F27" s="12"/>
      <c r="G27" s="12"/>
      <c r="H27" s="12"/>
      <c r="I27" s="12"/>
      <c r="J27" s="12"/>
      <c r="K27" s="12"/>
      <c r="L27" s="12"/>
      <c r="M27" s="12"/>
      <c r="N27" s="123"/>
      <c r="O27" s="123"/>
      <c r="P27" s="15"/>
      <c r="Q27" s="124"/>
      <c r="R27" s="112"/>
      <c r="S27" s="128"/>
      <c r="T27" s="129"/>
      <c r="U27" s="129"/>
      <c r="V27" s="12"/>
      <c r="W27" s="128"/>
      <c r="X27" s="128"/>
      <c r="Y27" s="128"/>
      <c r="Z27" s="124"/>
      <c r="AB27" s="12"/>
      <c r="AC27" s="133"/>
      <c r="AD27" s="2"/>
      <c r="AF27" s="43"/>
    </row>
    <row r="28" spans="2:32" s="1" customFormat="1" x14ac:dyDescent="0.25">
      <c r="B28" s="125"/>
      <c r="C28" s="126"/>
      <c r="D28" s="127"/>
      <c r="E28" s="12"/>
      <c r="F28" s="12"/>
      <c r="G28" s="12"/>
      <c r="H28" s="12"/>
      <c r="I28" s="12"/>
      <c r="J28" s="12"/>
      <c r="K28" s="12"/>
      <c r="L28" s="12"/>
      <c r="M28" s="12"/>
      <c r="N28" s="123"/>
      <c r="O28" s="123"/>
      <c r="P28" s="15"/>
      <c r="Q28" s="124"/>
      <c r="R28" s="112"/>
      <c r="S28" s="128"/>
      <c r="T28" s="129"/>
      <c r="U28" s="129"/>
      <c r="V28" s="12"/>
      <c r="W28" s="128"/>
      <c r="X28" s="128"/>
      <c r="Y28" s="128"/>
      <c r="Z28" s="124"/>
      <c r="AB28" s="12"/>
      <c r="AC28" s="133"/>
      <c r="AD28" s="2"/>
      <c r="AF28" s="43"/>
    </row>
    <row r="29" spans="2:32" s="1" customFormat="1" x14ac:dyDescent="0.25">
      <c r="O29" s="19"/>
      <c r="S29" s="31"/>
      <c r="AF29" s="43"/>
    </row>
    <row r="30" spans="2:32" s="1" customFormat="1" x14ac:dyDescent="0.25">
      <c r="O30" s="19"/>
      <c r="S30" s="31"/>
      <c r="AF30" s="43"/>
    </row>
    <row r="31" spans="2:32" s="1" customFormat="1" x14ac:dyDescent="0.25">
      <c r="O31" s="19"/>
      <c r="S31" s="31"/>
      <c r="AF31" s="43"/>
    </row>
    <row r="32" spans="2:32" s="1" customFormat="1" x14ac:dyDescent="0.25">
      <c r="O32" s="19"/>
      <c r="S32" s="31"/>
      <c r="AF32" s="43"/>
    </row>
    <row r="33" spans="15:32" s="1" customFormat="1" x14ac:dyDescent="0.25">
      <c r="O33" s="19"/>
      <c r="S33" s="31"/>
      <c r="AF33" s="43"/>
    </row>
    <row r="34" spans="15:32" s="1" customFormat="1" x14ac:dyDescent="0.25">
      <c r="O34" s="19"/>
      <c r="S34" s="31"/>
      <c r="AF34" s="43"/>
    </row>
    <row r="35" spans="15:32" s="1" customFormat="1" x14ac:dyDescent="0.25">
      <c r="O35" s="19"/>
      <c r="S35" s="31"/>
      <c r="AF35" s="43"/>
    </row>
    <row r="36" spans="15:32" s="1" customFormat="1" x14ac:dyDescent="0.25">
      <c r="O36" s="19"/>
      <c r="S36" s="31"/>
      <c r="AF36" s="43"/>
    </row>
    <row r="37" spans="15:32" s="1" customFormat="1" x14ac:dyDescent="0.25">
      <c r="O37" s="19"/>
      <c r="S37" s="31"/>
      <c r="AF37" s="43"/>
    </row>
    <row r="38" spans="15:32" s="1" customFormat="1" x14ac:dyDescent="0.25">
      <c r="O38" s="19"/>
      <c r="S38" s="31"/>
      <c r="AF38" s="43"/>
    </row>
    <row r="39" spans="15:32" s="1" customFormat="1" x14ac:dyDescent="0.25">
      <c r="O39" s="19"/>
      <c r="S39" s="31"/>
      <c r="AF39" s="43"/>
    </row>
    <row r="40" spans="15:32" s="1" customFormat="1" x14ac:dyDescent="0.25">
      <c r="O40" s="19"/>
      <c r="S40" s="31"/>
      <c r="AF40" s="43"/>
    </row>
    <row r="41" spans="15:32" s="1" customFormat="1" x14ac:dyDescent="0.25">
      <c r="O41" s="19"/>
      <c r="S41" s="31"/>
      <c r="AF41" s="43"/>
    </row>
    <row r="42" spans="15:32" s="1" customFormat="1" x14ac:dyDescent="0.25">
      <c r="O42" s="19"/>
      <c r="S42" s="31"/>
      <c r="AF42" s="43"/>
    </row>
    <row r="43" spans="15:32" s="1" customFormat="1" x14ac:dyDescent="0.25">
      <c r="O43" s="19"/>
      <c r="S43" s="31"/>
      <c r="AF43" s="43"/>
    </row>
    <row r="44" spans="15:32" s="1" customFormat="1" x14ac:dyDescent="0.25">
      <c r="O44" s="19"/>
      <c r="S44" s="31"/>
      <c r="AF44" s="43"/>
    </row>
    <row r="45" spans="15:32" s="1" customFormat="1" x14ac:dyDescent="0.25">
      <c r="O45" s="19"/>
      <c r="S45" s="31"/>
      <c r="AF45" s="43"/>
    </row>
    <row r="46" spans="15:32" s="1" customFormat="1" x14ac:dyDescent="0.25">
      <c r="O46" s="19"/>
      <c r="S46" s="31"/>
      <c r="AF46" s="43"/>
    </row>
    <row r="47" spans="15:32" s="1" customFormat="1" x14ac:dyDescent="0.25">
      <c r="O47" s="19"/>
      <c r="S47" s="31"/>
      <c r="AF47" s="43"/>
    </row>
    <row r="48" spans="15:32" s="1" customFormat="1" x14ac:dyDescent="0.25">
      <c r="O48" s="19"/>
      <c r="S48" s="31"/>
      <c r="AF48" s="43"/>
    </row>
    <row r="49" spans="15:32" s="1" customFormat="1" x14ac:dyDescent="0.25">
      <c r="O49" s="19"/>
      <c r="S49" s="31"/>
      <c r="AF49" s="43"/>
    </row>
    <row r="50" spans="15:32" s="1" customFormat="1" x14ac:dyDescent="0.25">
      <c r="O50" s="19"/>
      <c r="S50" s="31"/>
      <c r="AF50" s="43"/>
    </row>
    <row r="51" spans="15:32" s="1" customFormat="1" x14ac:dyDescent="0.25">
      <c r="O51" s="19"/>
      <c r="S51" s="31"/>
      <c r="AF51" s="43"/>
    </row>
    <row r="52" spans="15:32" s="1" customFormat="1" x14ac:dyDescent="0.25">
      <c r="O52" s="19"/>
      <c r="S52" s="31"/>
      <c r="AF52" s="43"/>
    </row>
    <row r="53" spans="15:32" s="1" customFormat="1" x14ac:dyDescent="0.25">
      <c r="O53" s="19"/>
      <c r="S53" s="31"/>
      <c r="AF53" s="43"/>
    </row>
    <row r="54" spans="15:32" s="1" customFormat="1" x14ac:dyDescent="0.25">
      <c r="O54" s="19"/>
      <c r="S54" s="31"/>
      <c r="AF54" s="43"/>
    </row>
    <row r="55" spans="15:32" s="1" customFormat="1" x14ac:dyDescent="0.25">
      <c r="O55" s="19"/>
      <c r="S55" s="31"/>
      <c r="AF55" s="43"/>
    </row>
    <row r="56" spans="15:32" s="1" customFormat="1" x14ac:dyDescent="0.25">
      <c r="O56" s="19"/>
      <c r="S56" s="31"/>
      <c r="AF56" s="43"/>
    </row>
    <row r="57" spans="15:32" s="1" customFormat="1" x14ac:dyDescent="0.25">
      <c r="O57" s="19"/>
      <c r="S57" s="31"/>
      <c r="AF57" s="43"/>
    </row>
    <row r="58" spans="15:32" s="1" customFormat="1" x14ac:dyDescent="0.25">
      <c r="O58" s="19"/>
      <c r="S58" s="31"/>
      <c r="AF58" s="43"/>
    </row>
    <row r="59" spans="15:32" s="1" customFormat="1" x14ac:dyDescent="0.25">
      <c r="O59" s="19"/>
      <c r="S59" s="31"/>
      <c r="AF59" s="43"/>
    </row>
    <row r="60" spans="15:32" s="1" customFormat="1" x14ac:dyDescent="0.25">
      <c r="O60" s="19"/>
      <c r="S60" s="31"/>
      <c r="AF60" s="43"/>
    </row>
    <row r="61" spans="15:32" s="1" customFormat="1" x14ac:dyDescent="0.25">
      <c r="O61" s="19"/>
      <c r="S61" s="31"/>
      <c r="AF61" s="43"/>
    </row>
    <row r="62" spans="15:32" s="1" customFormat="1" x14ac:dyDescent="0.25">
      <c r="O62" s="19"/>
      <c r="S62" s="31"/>
      <c r="AF62" s="43"/>
    </row>
    <row r="63" spans="15:32" s="1" customFormat="1" x14ac:dyDescent="0.25">
      <c r="O63" s="19"/>
      <c r="S63" s="31"/>
      <c r="AF63" s="43"/>
    </row>
    <row r="64" spans="15:32" s="1" customFormat="1" x14ac:dyDescent="0.25">
      <c r="O64" s="19"/>
      <c r="S64" s="31"/>
      <c r="AF64" s="43"/>
    </row>
    <row r="65" spans="15:32" s="1" customFormat="1" x14ac:dyDescent="0.25">
      <c r="O65" s="19"/>
      <c r="S65" s="31"/>
      <c r="AF65" s="43"/>
    </row>
    <row r="66" spans="15:32" s="1" customFormat="1" x14ac:dyDescent="0.25">
      <c r="O66" s="19"/>
      <c r="S66" s="31"/>
      <c r="AF66" s="43"/>
    </row>
    <row r="67" spans="15:32" s="1" customFormat="1" x14ac:dyDescent="0.25">
      <c r="O67" s="19"/>
      <c r="S67" s="31"/>
      <c r="AF67" s="43"/>
    </row>
    <row r="68" spans="15:32" s="1" customFormat="1" x14ac:dyDescent="0.25">
      <c r="O68" s="19"/>
      <c r="S68" s="31"/>
      <c r="AF68" s="43"/>
    </row>
    <row r="69" spans="15:32" s="1" customFormat="1" x14ac:dyDescent="0.25">
      <c r="O69" s="19"/>
      <c r="S69" s="31"/>
      <c r="AF69" s="43"/>
    </row>
    <row r="70" spans="15:32" s="1" customFormat="1" x14ac:dyDescent="0.25">
      <c r="O70" s="19"/>
      <c r="S70" s="31"/>
      <c r="AF70" s="43"/>
    </row>
    <row r="71" spans="15:32" s="1" customFormat="1" x14ac:dyDescent="0.25">
      <c r="O71" s="19"/>
      <c r="S71" s="31"/>
      <c r="AF71" s="43"/>
    </row>
    <row r="72" spans="15:32" s="1" customFormat="1" x14ac:dyDescent="0.25">
      <c r="O72" s="19"/>
      <c r="S72" s="31"/>
      <c r="AF72" s="43"/>
    </row>
    <row r="73" spans="15:32" s="1" customFormat="1" x14ac:dyDescent="0.25">
      <c r="O73" s="19"/>
      <c r="S73" s="31"/>
      <c r="AF73" s="43"/>
    </row>
    <row r="74" spans="15:32" s="1" customFormat="1" x14ac:dyDescent="0.25">
      <c r="O74" s="19"/>
      <c r="S74" s="31"/>
      <c r="AF74" s="43"/>
    </row>
    <row r="75" spans="15:32" s="1" customFormat="1" x14ac:dyDescent="0.25">
      <c r="O75" s="19"/>
      <c r="S75" s="31"/>
      <c r="AF75" s="43"/>
    </row>
    <row r="76" spans="15:32" s="1" customFormat="1" x14ac:dyDescent="0.25">
      <c r="O76" s="19"/>
      <c r="S76" s="31"/>
      <c r="AF76" s="43"/>
    </row>
    <row r="77" spans="15:32" s="1" customFormat="1" x14ac:dyDescent="0.25">
      <c r="O77" s="19"/>
      <c r="S77" s="31"/>
      <c r="AF77" s="43"/>
    </row>
    <row r="78" spans="15:32" s="1" customFormat="1" x14ac:dyDescent="0.25">
      <c r="O78" s="19"/>
      <c r="S78" s="31"/>
      <c r="AF78" s="43"/>
    </row>
    <row r="79" spans="15:32" s="1" customFormat="1" x14ac:dyDescent="0.25">
      <c r="O79" s="19"/>
      <c r="S79" s="31"/>
      <c r="AF79" s="43"/>
    </row>
    <row r="80" spans="15:32" s="1" customFormat="1" x14ac:dyDescent="0.25">
      <c r="O80" s="19"/>
      <c r="S80" s="31"/>
      <c r="AF80" s="43"/>
    </row>
    <row r="81" spans="4:32" s="1" customFormat="1" x14ac:dyDescent="0.25">
      <c r="O81" s="19"/>
      <c r="S81" s="31"/>
      <c r="AF81" s="43"/>
    </row>
    <row r="82" spans="4:32" s="1" customFormat="1" x14ac:dyDescent="0.25">
      <c r="O82" s="19"/>
      <c r="S82" s="31"/>
      <c r="AF82" s="43"/>
    </row>
    <row r="83" spans="4:32" s="1" customFormat="1" x14ac:dyDescent="0.25">
      <c r="O83" s="19"/>
      <c r="S83" s="31"/>
      <c r="AF83" s="43"/>
    </row>
    <row r="84" spans="4:32" s="1" customFormat="1" x14ac:dyDescent="0.25">
      <c r="O84" s="19"/>
      <c r="S84" s="31"/>
      <c r="AF84" s="43"/>
    </row>
    <row r="85" spans="4:32" s="1" customFormat="1" x14ac:dyDescent="0.25">
      <c r="O85" s="19"/>
      <c r="S85" s="31"/>
      <c r="AF85" s="43"/>
    </row>
    <row r="86" spans="4:32" s="1" customFormat="1" x14ac:dyDescent="0.25">
      <c r="O86" s="19"/>
      <c r="S86" s="31"/>
      <c r="AF86" s="43"/>
    </row>
    <row r="87" spans="4:32" s="1" customFormat="1" x14ac:dyDescent="0.25">
      <c r="O87" s="19"/>
      <c r="S87" s="31"/>
      <c r="AF87" s="43"/>
    </row>
    <row r="88" spans="4:32" s="1" customFormat="1" x14ac:dyDescent="0.25">
      <c r="O88" s="19"/>
      <c r="S88" s="31"/>
      <c r="AF88" s="43"/>
    </row>
    <row r="89" spans="4:32" s="1" customFormat="1" x14ac:dyDescent="0.25">
      <c r="O89" s="19"/>
      <c r="S89" s="31"/>
      <c r="AF89" s="43"/>
    </row>
    <row r="90" spans="4:32" s="1" customFormat="1" x14ac:dyDescent="0.25">
      <c r="O90" s="19"/>
      <c r="S90" s="31"/>
      <c r="AF90" s="43"/>
    </row>
    <row r="91" spans="4:32" s="1" customFormat="1" x14ac:dyDescent="0.25">
      <c r="O91" s="19"/>
      <c r="S91" s="31"/>
      <c r="AF91" s="43"/>
    </row>
    <row r="92" spans="4:32" s="1" customFormat="1" x14ac:dyDescent="0.25">
      <c r="O92" s="19"/>
      <c r="S92" s="31"/>
      <c r="AF92" s="43"/>
    </row>
    <row r="93" spans="4:32" s="1" customFormat="1" x14ac:dyDescent="0.25">
      <c r="O93" s="19"/>
      <c r="S93" s="31"/>
      <c r="AF93" s="43"/>
    </row>
    <row r="94" spans="4:32" s="1" customFormat="1" x14ac:dyDescent="0.25">
      <c r="D94" s="47"/>
      <c r="O94" s="19"/>
      <c r="S94" s="31"/>
      <c r="AF94" s="43"/>
    </row>
    <row r="95" spans="4:32" s="1" customFormat="1" x14ac:dyDescent="0.25">
      <c r="O95" s="19"/>
      <c r="S95" s="31"/>
      <c r="AF95" s="43"/>
    </row>
    <row r="96" spans="4:32" s="1" customFormat="1" x14ac:dyDescent="0.25">
      <c r="D96" s="47"/>
      <c r="O96" s="19"/>
      <c r="S96" s="31"/>
      <c r="AF96" s="43"/>
    </row>
    <row r="97" spans="4:32" s="1" customFormat="1" x14ac:dyDescent="0.25">
      <c r="O97" s="19"/>
      <c r="S97" s="31"/>
      <c r="AF97" s="43"/>
    </row>
    <row r="98" spans="4:32" s="1" customFormat="1" x14ac:dyDescent="0.25">
      <c r="D98" s="47"/>
      <c r="O98" s="19"/>
      <c r="S98" s="31"/>
      <c r="AF98" s="43"/>
    </row>
    <row r="99" spans="4:32" s="1" customFormat="1" x14ac:dyDescent="0.25">
      <c r="O99" s="19"/>
      <c r="S99" s="31"/>
      <c r="AF99" s="43"/>
    </row>
    <row r="100" spans="4:32" s="1" customFormat="1" x14ac:dyDescent="0.25">
      <c r="D100" s="47"/>
      <c r="O100" s="19"/>
      <c r="S100" s="31"/>
      <c r="AF100" s="43"/>
    </row>
    <row r="101" spans="4:32" s="1" customFormat="1" x14ac:dyDescent="0.25">
      <c r="O101" s="19"/>
      <c r="S101" s="31"/>
      <c r="AF101" s="43"/>
    </row>
    <row r="102" spans="4:32" s="1" customFormat="1" x14ac:dyDescent="0.25">
      <c r="D102" s="47"/>
      <c r="O102" s="19"/>
      <c r="S102" s="31"/>
      <c r="AF102" s="43"/>
    </row>
    <row r="103" spans="4:32" s="1" customFormat="1" x14ac:dyDescent="0.25">
      <c r="O103" s="19"/>
      <c r="S103" s="31"/>
      <c r="AF103" s="43"/>
    </row>
    <row r="104" spans="4:32" s="1" customFormat="1" x14ac:dyDescent="0.25">
      <c r="D104" s="47"/>
      <c r="O104" s="19"/>
      <c r="S104" s="31"/>
      <c r="AF104" s="43"/>
    </row>
    <row r="105" spans="4:32" s="1" customFormat="1" x14ac:dyDescent="0.25">
      <c r="O105" s="19"/>
      <c r="S105" s="31"/>
      <c r="AF105" s="43"/>
    </row>
    <row r="106" spans="4:32" s="1" customFormat="1" x14ac:dyDescent="0.25">
      <c r="O106" s="19"/>
      <c r="S106" s="31"/>
      <c r="AF106" s="43"/>
    </row>
    <row r="107" spans="4:32" s="1" customFormat="1" x14ac:dyDescent="0.25">
      <c r="O107" s="19"/>
      <c r="S107" s="31"/>
      <c r="AF107" s="43"/>
    </row>
    <row r="108" spans="4:32" s="1" customFormat="1" x14ac:dyDescent="0.25">
      <c r="O108" s="19"/>
      <c r="S108" s="31"/>
      <c r="AF108" s="43"/>
    </row>
    <row r="109" spans="4:32" s="1" customFormat="1" x14ac:dyDescent="0.25">
      <c r="O109" s="19"/>
      <c r="S109" s="31"/>
      <c r="AF109" s="43"/>
    </row>
    <row r="110" spans="4:32" s="1" customFormat="1" x14ac:dyDescent="0.25">
      <c r="O110" s="19"/>
      <c r="S110" s="31"/>
      <c r="AF110" s="43"/>
    </row>
    <row r="111" spans="4:32" s="1" customFormat="1" x14ac:dyDescent="0.25">
      <c r="O111" s="19"/>
      <c r="S111" s="31"/>
      <c r="AF111" s="43"/>
    </row>
    <row r="112" spans="4:32" s="1" customFormat="1" x14ac:dyDescent="0.25">
      <c r="O112" s="19"/>
      <c r="S112" s="31"/>
      <c r="AF112" s="43"/>
    </row>
    <row r="113" spans="15:32" s="1" customFormat="1" x14ac:dyDescent="0.25">
      <c r="O113" s="19"/>
      <c r="S113" s="31"/>
      <c r="AF113" s="43"/>
    </row>
    <row r="114" spans="15:32" s="1" customFormat="1" x14ac:dyDescent="0.25">
      <c r="O114" s="19"/>
      <c r="S114" s="31"/>
      <c r="AF114" s="43"/>
    </row>
    <row r="115" spans="15:32" s="1" customFormat="1" x14ac:dyDescent="0.25">
      <c r="O115" s="19"/>
      <c r="S115" s="31"/>
      <c r="AF115" s="43"/>
    </row>
    <row r="116" spans="15:32" s="1" customFormat="1" x14ac:dyDescent="0.25">
      <c r="O116" s="19"/>
      <c r="S116" s="31"/>
      <c r="AF116" s="43"/>
    </row>
    <row r="117" spans="15:32" s="1" customFormat="1" x14ac:dyDescent="0.25">
      <c r="O117" s="19"/>
      <c r="S117" s="31"/>
      <c r="AF117" s="43"/>
    </row>
    <row r="118" spans="15:32" s="1" customFormat="1" x14ac:dyDescent="0.25">
      <c r="O118" s="19"/>
      <c r="S118" s="31"/>
      <c r="AF118" s="43"/>
    </row>
    <row r="119" spans="15:32" s="1" customFormat="1" x14ac:dyDescent="0.25">
      <c r="O119" s="19"/>
      <c r="S119" s="31"/>
      <c r="AF119" s="43"/>
    </row>
    <row r="120" spans="15:32" s="1" customFormat="1" x14ac:dyDescent="0.25">
      <c r="O120" s="19"/>
      <c r="S120" s="31"/>
      <c r="AF120" s="43"/>
    </row>
    <row r="121" spans="15:32" s="1" customFormat="1" x14ac:dyDescent="0.25">
      <c r="O121" s="19"/>
      <c r="S121" s="31"/>
      <c r="AF121" s="43"/>
    </row>
    <row r="122" spans="15:32" s="1" customFormat="1" x14ac:dyDescent="0.25">
      <c r="O122" s="19"/>
      <c r="S122" s="31"/>
      <c r="AF122" s="43"/>
    </row>
    <row r="123" spans="15:32" s="1" customFormat="1" x14ac:dyDescent="0.25">
      <c r="O123" s="19"/>
      <c r="S123" s="31"/>
      <c r="AF123" s="43"/>
    </row>
    <row r="124" spans="15:32" s="1" customFormat="1" x14ac:dyDescent="0.25">
      <c r="O124" s="19"/>
      <c r="S124" s="31"/>
      <c r="AF124" s="43"/>
    </row>
    <row r="125" spans="15:32" s="1" customFormat="1" x14ac:dyDescent="0.25">
      <c r="O125" s="19"/>
      <c r="S125" s="31"/>
      <c r="AF125" s="43"/>
    </row>
    <row r="126" spans="15:32" s="1" customFormat="1" x14ac:dyDescent="0.25">
      <c r="O126" s="19"/>
      <c r="S126" s="31"/>
      <c r="AF126" s="43"/>
    </row>
    <row r="127" spans="15:32" s="1" customFormat="1" x14ac:dyDescent="0.25">
      <c r="O127" s="19"/>
      <c r="S127" s="31"/>
      <c r="AF127" s="43"/>
    </row>
    <row r="128" spans="15:32" s="1" customFormat="1" x14ac:dyDescent="0.25">
      <c r="O128" s="19"/>
      <c r="S128" s="31"/>
      <c r="AF128" s="43"/>
    </row>
    <row r="129" spans="15:32" s="1" customFormat="1" x14ac:dyDescent="0.25">
      <c r="O129" s="19"/>
      <c r="S129" s="31"/>
      <c r="AF129" s="43"/>
    </row>
    <row r="130" spans="15:32" s="1" customFormat="1" x14ac:dyDescent="0.25">
      <c r="O130" s="19"/>
      <c r="S130" s="31"/>
      <c r="AF130" s="43"/>
    </row>
    <row r="131" spans="15:32" s="1" customFormat="1" x14ac:dyDescent="0.25">
      <c r="O131" s="19"/>
      <c r="S131" s="31"/>
      <c r="AF131" s="43"/>
    </row>
    <row r="132" spans="15:32" s="1" customFormat="1" x14ac:dyDescent="0.25">
      <c r="O132" s="19"/>
      <c r="S132" s="31"/>
      <c r="AF132" s="43"/>
    </row>
    <row r="133" spans="15:32" s="1" customFormat="1" x14ac:dyDescent="0.25">
      <c r="O133" s="19"/>
      <c r="S133" s="31"/>
      <c r="AF133" s="43"/>
    </row>
    <row r="134" spans="15:32" s="1" customFormat="1" x14ac:dyDescent="0.25">
      <c r="O134" s="19"/>
      <c r="S134" s="31"/>
      <c r="AF134" s="43"/>
    </row>
    <row r="135" spans="15:32" s="1" customFormat="1" x14ac:dyDescent="0.25">
      <c r="O135" s="19"/>
      <c r="S135" s="31"/>
      <c r="AF135" s="43"/>
    </row>
    <row r="136" spans="15:32" s="1" customFormat="1" x14ac:dyDescent="0.25">
      <c r="O136" s="19"/>
      <c r="S136" s="31"/>
      <c r="AF136" s="43"/>
    </row>
    <row r="137" spans="15:32" s="1" customFormat="1" x14ac:dyDescent="0.25">
      <c r="O137" s="19"/>
      <c r="S137" s="31"/>
      <c r="AF137" s="43"/>
    </row>
    <row r="138" spans="15:32" s="1" customFormat="1" x14ac:dyDescent="0.25">
      <c r="O138" s="19"/>
      <c r="S138" s="31"/>
      <c r="AF138" s="43"/>
    </row>
    <row r="139" spans="15:32" s="1" customFormat="1" x14ac:dyDescent="0.25">
      <c r="O139" s="19"/>
      <c r="S139" s="31"/>
      <c r="AF139" s="43"/>
    </row>
    <row r="140" spans="15:32" s="1" customFormat="1" x14ac:dyDescent="0.25">
      <c r="O140" s="19"/>
      <c r="S140" s="31"/>
      <c r="AF140" s="43"/>
    </row>
    <row r="141" spans="15:32" s="1" customFormat="1" x14ac:dyDescent="0.25">
      <c r="O141" s="19"/>
      <c r="S141" s="31"/>
      <c r="AF141" s="43"/>
    </row>
    <row r="142" spans="15:32" s="1" customFormat="1" x14ac:dyDescent="0.25">
      <c r="O142" s="19"/>
      <c r="S142" s="31"/>
      <c r="AF142" s="43"/>
    </row>
    <row r="143" spans="15:32" s="1" customFormat="1" x14ac:dyDescent="0.25">
      <c r="O143" s="19"/>
      <c r="S143" s="31"/>
      <c r="AF143" s="43"/>
    </row>
    <row r="144" spans="15:32" s="1" customFormat="1" x14ac:dyDescent="0.25">
      <c r="O144" s="19"/>
      <c r="S144" s="31"/>
      <c r="AF144" s="43"/>
    </row>
    <row r="145" spans="15:32" s="1" customFormat="1" x14ac:dyDescent="0.25">
      <c r="O145" s="19"/>
      <c r="S145" s="31"/>
      <c r="AF145" s="43"/>
    </row>
    <row r="146" spans="15:32" s="1" customFormat="1" x14ac:dyDescent="0.25">
      <c r="O146" s="19"/>
      <c r="S146" s="31"/>
      <c r="AF146" s="43"/>
    </row>
    <row r="147" spans="15:32" s="1" customFormat="1" x14ac:dyDescent="0.25">
      <c r="O147" s="19"/>
      <c r="S147" s="31"/>
      <c r="AF147" s="43"/>
    </row>
    <row r="148" spans="15:32" s="1" customFormat="1" x14ac:dyDescent="0.25">
      <c r="O148" s="19"/>
      <c r="S148" s="31"/>
      <c r="AF148" s="43"/>
    </row>
    <row r="149" spans="15:32" s="1" customFormat="1" x14ac:dyDescent="0.25">
      <c r="O149" s="19"/>
      <c r="S149" s="31"/>
      <c r="AF149" s="43"/>
    </row>
    <row r="150" spans="15:32" s="1" customFormat="1" x14ac:dyDescent="0.25">
      <c r="O150" s="19"/>
      <c r="S150" s="31"/>
      <c r="AF150" s="43"/>
    </row>
    <row r="151" spans="15:32" s="1" customFormat="1" x14ac:dyDescent="0.25">
      <c r="O151" s="19"/>
      <c r="S151" s="31"/>
      <c r="AF151" s="43"/>
    </row>
    <row r="152" spans="15:32" s="1" customFormat="1" x14ac:dyDescent="0.25">
      <c r="O152" s="19"/>
      <c r="S152" s="31"/>
      <c r="AF152" s="43"/>
    </row>
    <row r="153" spans="15:32" s="1" customFormat="1" x14ac:dyDescent="0.25">
      <c r="O153" s="19"/>
      <c r="S153" s="31"/>
      <c r="AF153" s="43"/>
    </row>
    <row r="154" spans="15:32" s="1" customFormat="1" x14ac:dyDescent="0.25">
      <c r="O154" s="19"/>
      <c r="S154" s="31"/>
      <c r="AF154" s="43"/>
    </row>
    <row r="155" spans="15:32" s="1" customFormat="1" x14ac:dyDescent="0.25">
      <c r="O155" s="19"/>
      <c r="S155" s="31"/>
      <c r="AF155" s="43"/>
    </row>
    <row r="156" spans="15:32" s="1" customFormat="1" x14ac:dyDescent="0.25">
      <c r="O156" s="19"/>
      <c r="S156" s="31"/>
      <c r="AF156" s="43"/>
    </row>
    <row r="157" spans="15:32" s="1" customFormat="1" x14ac:dyDescent="0.25">
      <c r="O157" s="19"/>
      <c r="S157" s="31"/>
      <c r="AF157" s="43"/>
    </row>
    <row r="158" spans="15:32" s="1" customFormat="1" x14ac:dyDescent="0.25">
      <c r="O158" s="19"/>
      <c r="S158" s="31"/>
      <c r="AF158" s="43"/>
    </row>
    <row r="159" spans="15:32" s="1" customFormat="1" x14ac:dyDescent="0.25">
      <c r="O159" s="19"/>
      <c r="S159" s="31"/>
      <c r="AF159" s="43"/>
    </row>
    <row r="160" spans="15:32" s="1" customFormat="1" x14ac:dyDescent="0.25">
      <c r="O160" s="19"/>
      <c r="S160" s="31"/>
      <c r="AF160" s="43"/>
    </row>
    <row r="161" spans="15:32" s="1" customFormat="1" x14ac:dyDescent="0.25">
      <c r="O161" s="19"/>
      <c r="S161" s="31"/>
      <c r="AF161" s="43"/>
    </row>
    <row r="162" spans="15:32" s="1" customFormat="1" x14ac:dyDescent="0.25">
      <c r="O162" s="19"/>
      <c r="S162" s="31"/>
      <c r="AF162" s="43"/>
    </row>
    <row r="163" spans="15:32" s="1" customFormat="1" x14ac:dyDescent="0.25">
      <c r="O163" s="19"/>
      <c r="S163" s="31"/>
      <c r="AF163" s="43"/>
    </row>
    <row r="164" spans="15:32" s="1" customFormat="1" x14ac:dyDescent="0.25">
      <c r="O164" s="19"/>
      <c r="S164" s="31"/>
      <c r="AF164" s="43"/>
    </row>
    <row r="165" spans="15:32" s="1" customFormat="1" x14ac:dyDescent="0.25">
      <c r="O165" s="19"/>
      <c r="S165" s="31"/>
      <c r="AF165" s="43"/>
    </row>
    <row r="166" spans="15:32" s="1" customFormat="1" x14ac:dyDescent="0.25">
      <c r="O166" s="19"/>
      <c r="S166" s="31"/>
      <c r="AF166" s="43"/>
    </row>
    <row r="167" spans="15:32" s="1" customFormat="1" x14ac:dyDescent="0.25">
      <c r="O167" s="19"/>
      <c r="S167" s="31"/>
      <c r="AF167" s="43"/>
    </row>
    <row r="168" spans="15:32" s="1" customFormat="1" x14ac:dyDescent="0.25">
      <c r="O168" s="19"/>
      <c r="S168" s="31"/>
      <c r="AF168" s="43"/>
    </row>
    <row r="169" spans="15:32" s="1" customFormat="1" x14ac:dyDescent="0.25">
      <c r="O169" s="19"/>
      <c r="S169" s="31"/>
      <c r="AF169" s="43"/>
    </row>
    <row r="170" spans="15:32" s="1" customFormat="1" x14ac:dyDescent="0.25">
      <c r="O170" s="19"/>
      <c r="S170" s="31"/>
      <c r="AF170" s="43"/>
    </row>
    <row r="171" spans="15:32" s="1" customFormat="1" x14ac:dyDescent="0.25">
      <c r="O171" s="19"/>
      <c r="S171" s="31"/>
      <c r="AF171" s="43"/>
    </row>
    <row r="172" spans="15:32" s="1" customFormat="1" x14ac:dyDescent="0.25">
      <c r="O172" s="19"/>
      <c r="S172" s="31"/>
      <c r="AF172" s="43"/>
    </row>
    <row r="173" spans="15:32" s="1" customFormat="1" x14ac:dyDescent="0.25">
      <c r="O173" s="19"/>
      <c r="S173" s="31"/>
      <c r="AF173" s="43"/>
    </row>
    <row r="174" spans="15:32" s="1" customFormat="1" x14ac:dyDescent="0.25">
      <c r="O174" s="19"/>
      <c r="S174" s="31"/>
      <c r="AF174" s="43"/>
    </row>
    <row r="175" spans="15:32" s="1" customFormat="1" x14ac:dyDescent="0.25">
      <c r="O175" s="19"/>
      <c r="S175" s="31"/>
      <c r="AF175" s="43"/>
    </row>
    <row r="176" spans="15:32" s="1" customFormat="1" x14ac:dyDescent="0.25">
      <c r="O176" s="19"/>
      <c r="S176" s="31"/>
      <c r="AF176" s="43"/>
    </row>
    <row r="177" spans="2:32" s="1" customFormat="1" x14ac:dyDescent="0.25">
      <c r="O177" s="19"/>
      <c r="S177" s="31"/>
      <c r="AF177" s="43"/>
    </row>
    <row r="178" spans="2:32" s="1" customFormat="1" x14ac:dyDescent="0.25">
      <c r="O178" s="19"/>
      <c r="S178" s="31"/>
      <c r="AF178" s="43"/>
    </row>
    <row r="179" spans="2:32" s="1" customFormat="1" x14ac:dyDescent="0.25">
      <c r="O179" s="19"/>
      <c r="S179" s="31"/>
      <c r="AF179" s="43"/>
    </row>
    <row r="180" spans="2:32" s="1" customFormat="1" x14ac:dyDescent="0.25">
      <c r="O180" s="19"/>
      <c r="S180" s="31"/>
      <c r="AF180" s="43"/>
    </row>
    <row r="181" spans="2:32" s="1" customFormat="1" x14ac:dyDescent="0.25">
      <c r="O181" s="19"/>
      <c r="S181" s="31"/>
      <c r="AF181" s="43"/>
    </row>
    <row r="182" spans="2:32" s="1" customFormat="1" x14ac:dyDescent="0.25">
      <c r="O182" s="19"/>
      <c r="S182" s="31"/>
      <c r="AF182" s="43"/>
    </row>
    <row r="183" spans="2:32" s="1" customFormat="1" x14ac:dyDescent="0.25">
      <c r="O183" s="19"/>
      <c r="S183" s="31"/>
      <c r="AF183" s="43"/>
    </row>
    <row r="184" spans="2:32" s="1" customFormat="1" x14ac:dyDescent="0.25">
      <c r="O184" s="19"/>
      <c r="S184" s="34"/>
      <c r="T184"/>
      <c r="V184"/>
      <c r="W184"/>
      <c r="X184"/>
      <c r="Y184"/>
      <c r="Z184"/>
      <c r="AC184"/>
      <c r="AF184" s="43"/>
    </row>
    <row r="185" spans="2:32" s="1" customFormat="1" x14ac:dyDescent="0.25">
      <c r="O185" s="19"/>
      <c r="S185" s="34"/>
      <c r="T185"/>
      <c r="V185"/>
      <c r="W185"/>
      <c r="X185"/>
      <c r="Y185"/>
      <c r="Z185"/>
      <c r="AC185"/>
      <c r="AF185" s="43"/>
    </row>
    <row r="186" spans="2:32" s="1" customFormat="1" x14ac:dyDescent="0.25">
      <c r="O186" s="19"/>
      <c r="S186" s="34"/>
      <c r="T186"/>
      <c r="V186"/>
      <c r="W186"/>
      <c r="X186"/>
      <c r="Y186"/>
      <c r="Z186"/>
      <c r="AC186"/>
      <c r="AF186" s="43"/>
    </row>
    <row r="187" spans="2:32" s="1" customFormat="1" x14ac:dyDescent="0.25">
      <c r="O187" s="19"/>
      <c r="S187" s="34"/>
      <c r="T187"/>
      <c r="V187"/>
      <c r="W187"/>
      <c r="X187"/>
      <c r="Y187"/>
      <c r="Z187"/>
      <c r="AC187"/>
      <c r="AF187" s="43"/>
    </row>
    <row r="188" spans="2:32" s="1" customFormat="1" x14ac:dyDescent="0.2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 s="21"/>
      <c r="P188"/>
      <c r="Q188"/>
      <c r="S188" s="34"/>
      <c r="T188"/>
      <c r="V188"/>
      <c r="W188"/>
      <c r="X188"/>
      <c r="Y188"/>
      <c r="Z188"/>
      <c r="AA188"/>
      <c r="AC188"/>
      <c r="AF188" s="43"/>
    </row>
    <row r="189" spans="2:32" s="1" customFormat="1" x14ac:dyDescent="0.2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 s="21"/>
      <c r="P189"/>
      <c r="Q189"/>
      <c r="S189" s="34"/>
      <c r="T189"/>
      <c r="V189"/>
      <c r="W189"/>
      <c r="X189"/>
      <c r="Y189"/>
      <c r="Z189"/>
      <c r="AA189"/>
      <c r="AC189"/>
      <c r="AF189" s="43"/>
    </row>
    <row r="190" spans="2:32" s="1" customFormat="1" x14ac:dyDescent="0.2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 s="21"/>
      <c r="P190"/>
      <c r="Q190"/>
      <c r="S190" s="34"/>
      <c r="T190"/>
      <c r="V190"/>
      <c r="W190"/>
      <c r="X190"/>
      <c r="Y190"/>
      <c r="Z190"/>
      <c r="AA190"/>
      <c r="AC190"/>
      <c r="AF190" s="43"/>
    </row>
    <row r="191" spans="2:32" s="1" customFormat="1" x14ac:dyDescent="0.2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 s="21"/>
      <c r="P191"/>
      <c r="Q191"/>
      <c r="S191" s="34"/>
      <c r="T191"/>
      <c r="V191"/>
      <c r="W191"/>
      <c r="X191"/>
      <c r="Y191"/>
      <c r="Z191"/>
      <c r="AA191"/>
      <c r="AC191"/>
      <c r="AF191" s="43"/>
    </row>
    <row r="192" spans="2:32" s="1" customFormat="1" x14ac:dyDescent="0.2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 s="21"/>
      <c r="P192"/>
      <c r="Q192"/>
      <c r="S192" s="34"/>
      <c r="T192"/>
      <c r="V192"/>
      <c r="W192"/>
      <c r="X192"/>
      <c r="Y192"/>
      <c r="Z192"/>
      <c r="AA192"/>
      <c r="AC192"/>
      <c r="AF192" s="43"/>
    </row>
    <row r="193" spans="2:32" s="1" customFormat="1" x14ac:dyDescent="0.2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 s="21"/>
      <c r="P193"/>
      <c r="Q193"/>
      <c r="S193" s="34"/>
      <c r="T193"/>
      <c r="V193"/>
      <c r="W193"/>
      <c r="X193"/>
      <c r="Y193"/>
      <c r="Z193"/>
      <c r="AA193"/>
      <c r="AC193"/>
      <c r="AF193" s="43"/>
    </row>
    <row r="194" spans="2:32" s="1" customFormat="1" x14ac:dyDescent="0.25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 s="21"/>
      <c r="P194"/>
      <c r="Q194"/>
      <c r="S194" s="34"/>
      <c r="T194"/>
      <c r="V194"/>
      <c r="W194"/>
      <c r="X194"/>
      <c r="Y194"/>
      <c r="Z194"/>
      <c r="AA194"/>
      <c r="AC194"/>
      <c r="AF194" s="43"/>
    </row>
    <row r="195" spans="2:32" x14ac:dyDescent="0.25">
      <c r="U195" s="1"/>
    </row>
    <row r="196" spans="2:32" x14ac:dyDescent="0.25">
      <c r="U196" s="1"/>
    </row>
    <row r="197" spans="2:32" x14ac:dyDescent="0.25">
      <c r="U197" s="1"/>
    </row>
    <row r="198" spans="2:32" x14ac:dyDescent="0.25">
      <c r="U198" s="1"/>
    </row>
    <row r="199" spans="2:32" x14ac:dyDescent="0.25">
      <c r="U199" s="1"/>
    </row>
    <row r="200" spans="2:32" x14ac:dyDescent="0.25">
      <c r="U200" s="1"/>
    </row>
  </sheetData>
  <mergeCells count="49">
    <mergeCell ref="J9:J12"/>
    <mergeCell ref="K9:K12"/>
    <mergeCell ref="L9:L12"/>
    <mergeCell ref="M9:M12"/>
    <mergeCell ref="N9:N12"/>
    <mergeCell ref="O9:O12"/>
    <mergeCell ref="Z9:Z12"/>
    <mergeCell ref="AC9:AC12"/>
    <mergeCell ref="P9:P12"/>
    <mergeCell ref="S9:S12"/>
    <mergeCell ref="T9:T12"/>
    <mergeCell ref="U9:U12"/>
    <mergeCell ref="V9:V12"/>
    <mergeCell ref="W9:W12"/>
    <mergeCell ref="G9:G12"/>
    <mergeCell ref="H9:H12"/>
    <mergeCell ref="I9:I12"/>
    <mergeCell ref="B9:B12"/>
    <mergeCell ref="C9:C12"/>
    <mergeCell ref="D9:D12"/>
    <mergeCell ref="E9:E12"/>
    <mergeCell ref="F9:F12"/>
    <mergeCell ref="X2:X5"/>
    <mergeCell ref="Y2:Y5"/>
    <mergeCell ref="Z2:Z5"/>
    <mergeCell ref="AC2:AC5"/>
    <mergeCell ref="AD3:AD5"/>
    <mergeCell ref="W2:W5"/>
    <mergeCell ref="K2:K5"/>
    <mergeCell ref="L2:L5"/>
    <mergeCell ref="M2:M5"/>
    <mergeCell ref="N2:N5"/>
    <mergeCell ref="O2:O5"/>
    <mergeCell ref="P2:P5"/>
    <mergeCell ref="Q2:Q5"/>
    <mergeCell ref="S2:S5"/>
    <mergeCell ref="T2:T5"/>
    <mergeCell ref="U2:U5"/>
    <mergeCell ref="V2:V5"/>
    <mergeCell ref="T1:U1"/>
    <mergeCell ref="B2:B5"/>
    <mergeCell ref="C2:C5"/>
    <mergeCell ref="D2:D5"/>
    <mergeCell ref="E2:E5"/>
    <mergeCell ref="F2:F5"/>
    <mergeCell ref="G2:G5"/>
    <mergeCell ref="H2:H5"/>
    <mergeCell ref="I2:I5"/>
    <mergeCell ref="J2:J5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IVECO</vt:lpstr>
      <vt:lpstr>Comparativa competencia</vt:lpstr>
      <vt:lpstr>FOTON </vt:lpstr>
      <vt:lpstr>Agrale 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Plesr Peter - CL</dc:creator>
  <cp:keywords/>
  <dc:description/>
  <cp:lastModifiedBy>Diego Vejar</cp:lastModifiedBy>
  <cp:revision/>
  <dcterms:created xsi:type="dcterms:W3CDTF">2014-11-19T13:28:54Z</dcterms:created>
  <dcterms:modified xsi:type="dcterms:W3CDTF">2026-04-23T19:20:32Z</dcterms:modified>
  <cp:category/>
  <cp:contentStatus/>
</cp:coreProperties>
</file>